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7995"/>
  </bookViews>
  <sheets>
    <sheet name="26-04-2022" sheetId="1" r:id="rId1"/>
  </sheets>
  <calcPr calcId="145621"/>
</workbook>
</file>

<file path=xl/calcChain.xml><?xml version="1.0" encoding="utf-8"?>
<calcChain xmlns="http://schemas.openxmlformats.org/spreadsheetml/2006/main">
  <c r="I22" i="1" l="1"/>
  <c r="H17" i="1"/>
  <c r="E8" i="1"/>
  <c r="E9" i="1"/>
  <c r="E10" i="1"/>
  <c r="E11" i="1"/>
  <c r="E12" i="1"/>
  <c r="E13" i="1"/>
  <c r="E14" i="1"/>
  <c r="E15" i="1"/>
  <c r="E16" i="1"/>
  <c r="E19" i="1"/>
  <c r="E20" i="1"/>
  <c r="E21" i="1"/>
  <c r="I17" i="1"/>
  <c r="I18" i="1"/>
  <c r="H16" i="1" l="1"/>
  <c r="I16" i="1"/>
  <c r="F25" i="1" l="1"/>
  <c r="D25" i="1"/>
  <c r="I24" i="1"/>
  <c r="H24" i="1"/>
  <c r="L19" i="1" l="1"/>
  <c r="I23" i="1" l="1"/>
  <c r="H23" i="1"/>
  <c r="H22" i="1"/>
  <c r="H21" i="1"/>
  <c r="I21" i="1"/>
  <c r="H20" i="1"/>
  <c r="I20" i="1"/>
  <c r="H19" i="1"/>
  <c r="I19" i="1"/>
  <c r="H18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H8" i="1"/>
  <c r="I8" i="1"/>
  <c r="H7" i="1"/>
  <c r="G25" i="1"/>
  <c r="E7" i="1"/>
  <c r="I7" i="1" s="1"/>
  <c r="E25" i="1" l="1"/>
  <c r="H25" i="1"/>
  <c r="I25" i="1"/>
  <c r="C35" i="1" s="1"/>
</calcChain>
</file>

<file path=xl/sharedStrings.xml><?xml version="1.0" encoding="utf-8"?>
<sst xmlns="http://schemas.openxmlformats.org/spreadsheetml/2006/main" count="41" uniqueCount="34">
  <si>
    <t>INSI S.A.</t>
  </si>
  <si>
    <t>RENDICIÓN  COPAGOS FONASA</t>
  </si>
  <si>
    <t>VALOR BONO</t>
  </si>
  <si>
    <t>PRESTADOR</t>
  </si>
  <si>
    <t>BONOS PORTAL</t>
  </si>
  <si>
    <t>BONOS I-MED</t>
  </si>
  <si>
    <t>TOTAL BONOS</t>
  </si>
  <si>
    <t>VALOR TOTAL</t>
  </si>
  <si>
    <t>CANT.</t>
  </si>
  <si>
    <t>VALOR BONOS</t>
  </si>
  <si>
    <t>SERV. MÉDICOS ESCULAPIO</t>
  </si>
  <si>
    <t>DR. JOSÉ LUIS CASTILLO</t>
  </si>
  <si>
    <t>DR. CLAUDIO TRUJILLO</t>
  </si>
  <si>
    <t>DR. RICARDO  PÉREZ</t>
  </si>
  <si>
    <t>DR. LUIS TEICHELMANN</t>
  </si>
  <si>
    <t>DR. VALDERRAMA</t>
  </si>
  <si>
    <t>DR. GORKI OSORIO</t>
  </si>
  <si>
    <t>DR. ANDRÉS GIACAMAN</t>
  </si>
  <si>
    <t>UROFLUJOMETRIA</t>
  </si>
  <si>
    <t>N/A</t>
  </si>
  <si>
    <t>SMAT LTDA.</t>
  </si>
  <si>
    <t>PRESTACIONES RXS.LTDA.</t>
  </si>
  <si>
    <t>ADELANTOS:</t>
  </si>
  <si>
    <t>NOMBRE Y FIRMA RESPONSABLE</t>
  </si>
  <si>
    <t>SOC. MÉDICA DE CIRUGÍA</t>
  </si>
  <si>
    <t xml:space="preserve">SR. JAVIER CUELLO </t>
  </si>
  <si>
    <t>CAJA</t>
  </si>
  <si>
    <t>DETALLE</t>
  </si>
  <si>
    <t>TOTAL</t>
  </si>
  <si>
    <t>DR. PATRICIO MONTECINOS</t>
  </si>
  <si>
    <t>DR. JAIME KRIMAN</t>
  </si>
  <si>
    <t>INSI S.A. (ISAPRE)</t>
  </si>
  <si>
    <t>SRA. SUSAN SIERRA</t>
  </si>
  <si>
    <t>FECHA 10/06/2022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</si>
</sst>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theme="1" tint="0.49998474074526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right" wrapText="1"/>
    </xf>
    <xf numFmtId="0" fontId="7" fillId="0" borderId="0" xfId="0" applyFont="1" applyFill="1" applyBorder="1"/>
    <xf numFmtId="0" fontId="0" fillId="0" borderId="0" xfId="0" applyFill="1" applyAlignment="1">
      <alignment wrapText="1"/>
    </xf>
    <xf numFmtId="1" fontId="0" fillId="0" borderId="6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64" fontId="0" fillId="0" borderId="9" xfId="0" applyNumberFormat="1" applyFont="1" applyFill="1" applyBorder="1"/>
    <xf numFmtId="1" fontId="0" fillId="0" borderId="10" xfId="0" applyNumberFormat="1" applyFont="1" applyFill="1" applyBorder="1" applyAlignment="1">
      <alignment horizontal="center"/>
    </xf>
    <xf numFmtId="164" fontId="0" fillId="0" borderId="11" xfId="0" applyNumberFormat="1" applyFont="1" applyFill="1" applyBorder="1"/>
    <xf numFmtId="164" fontId="0" fillId="0" borderId="0" xfId="0" applyNumberFormat="1" applyFill="1"/>
    <xf numFmtId="164" fontId="0" fillId="0" borderId="12" xfId="0" applyNumberFormat="1" applyFill="1" applyBorder="1"/>
    <xf numFmtId="3" fontId="0" fillId="0" borderId="3" xfId="0" applyNumberForma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164" fontId="2" fillId="0" borderId="12" xfId="0" applyNumberFormat="1" applyFont="1" applyFill="1" applyBorder="1"/>
    <xf numFmtId="0" fontId="10" fillId="0" borderId="0" xfId="0" applyFont="1" applyFill="1"/>
    <xf numFmtId="0" fontId="2" fillId="0" borderId="0" xfId="0" applyFont="1" applyFill="1"/>
    <xf numFmtId="0" fontId="2" fillId="0" borderId="0" xfId="0" applyFont="1" applyFill="1" applyBorder="1"/>
    <xf numFmtId="0" fontId="0" fillId="0" borderId="15" xfId="0" applyFill="1" applyBorder="1"/>
    <xf numFmtId="164" fontId="6" fillId="0" borderId="15" xfId="0" applyNumberFormat="1" applyFont="1" applyFill="1" applyBorder="1"/>
    <xf numFmtId="164" fontId="0" fillId="2" borderId="21" xfId="0" applyNumberFormat="1" applyFill="1" applyBorder="1" applyAlignment="1">
      <alignment horizontal="center"/>
    </xf>
    <xf numFmtId="164" fontId="0" fillId="2" borderId="22" xfId="0" applyNumberFormat="1" applyFill="1" applyBorder="1" applyAlignment="1">
      <alignment horizontal="center"/>
    </xf>
    <xf numFmtId="0" fontId="2" fillId="0" borderId="16" xfId="0" applyFont="1" applyFill="1" applyBorder="1"/>
    <xf numFmtId="0" fontId="0" fillId="0" borderId="17" xfId="0" applyFill="1" applyBorder="1"/>
    <xf numFmtId="0" fontId="2" fillId="0" borderId="18" xfId="0" applyFont="1" applyFill="1" applyBorder="1"/>
    <xf numFmtId="0" fontId="0" fillId="0" borderId="19" xfId="0" applyFill="1" applyBorder="1"/>
    <xf numFmtId="0" fontId="8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2" borderId="7" xfId="0" applyFill="1" applyBorder="1"/>
    <xf numFmtId="0" fontId="0" fillId="2" borderId="25" xfId="0" applyFill="1" applyBorder="1"/>
    <xf numFmtId="0" fontId="12" fillId="2" borderId="25" xfId="0" applyFont="1" applyFill="1" applyBorder="1"/>
    <xf numFmtId="0" fontId="0" fillId="2" borderId="26" xfId="0" applyFill="1" applyBorder="1"/>
    <xf numFmtId="0" fontId="8" fillId="3" borderId="27" xfId="0" applyFont="1" applyFill="1" applyBorder="1" applyAlignment="1">
      <alignment horizontal="center" vertical="center" wrapText="1"/>
    </xf>
    <xf numFmtId="1" fontId="0" fillId="0" borderId="28" xfId="0" applyNumberFormat="1" applyFill="1" applyBorder="1" applyAlignment="1">
      <alignment horizontal="center"/>
    </xf>
    <xf numFmtId="164" fontId="0" fillId="0" borderId="29" xfId="0" applyNumberFormat="1" applyFill="1" applyBorder="1"/>
    <xf numFmtId="1" fontId="0" fillId="0" borderId="16" xfId="0" applyNumberFormat="1" applyFont="1" applyFill="1" applyBorder="1" applyAlignment="1">
      <alignment horizontal="center"/>
    </xf>
    <xf numFmtId="164" fontId="0" fillId="0" borderId="17" xfId="0" applyNumberFormat="1" applyFont="1" applyFill="1" applyBorder="1"/>
    <xf numFmtId="1" fontId="0" fillId="0" borderId="18" xfId="0" applyNumberFormat="1" applyFont="1" applyFill="1" applyBorder="1" applyAlignment="1">
      <alignment horizontal="center"/>
    </xf>
    <xf numFmtId="164" fontId="0" fillId="0" borderId="19" xfId="0" applyNumberFormat="1" applyFont="1" applyFill="1" applyBorder="1"/>
    <xf numFmtId="165" fontId="0" fillId="0" borderId="12" xfId="1" applyNumberFormat="1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right"/>
    </xf>
    <xf numFmtId="0" fontId="6" fillId="0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14" fontId="6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Layout" zoomScaleNormal="100" workbookViewId="0">
      <selection activeCell="L3" sqref="L3"/>
    </sheetView>
  </sheetViews>
  <sheetFormatPr baseColWidth="10" defaultColWidth="11.42578125" defaultRowHeight="15" x14ac:dyDescent="0.25"/>
  <cols>
    <col min="1" max="1" width="1.85546875" style="5" customWidth="1"/>
    <col min="2" max="2" width="12" style="5" customWidth="1"/>
    <col min="3" max="3" width="26.85546875" style="5" customWidth="1"/>
    <col min="4" max="4" width="7.5703125" style="4" customWidth="1"/>
    <col min="5" max="5" width="12.5703125" style="4" customWidth="1"/>
    <col min="6" max="6" width="7.5703125" style="5" customWidth="1"/>
    <col min="7" max="7" width="12.5703125" style="5" customWidth="1"/>
    <col min="8" max="8" width="7.5703125" style="5" customWidth="1"/>
    <col min="9" max="9" width="12.5703125" style="5" customWidth="1"/>
    <col min="10" max="10" width="1.85546875" style="5" customWidth="1"/>
    <col min="11" max="16384" width="11.42578125" style="5"/>
  </cols>
  <sheetData>
    <row r="1" spans="1:12" ht="26.25" x14ac:dyDescent="0.4">
      <c r="A1" s="1"/>
      <c r="B1" s="1" t="s">
        <v>0</v>
      </c>
      <c r="C1" s="2"/>
      <c r="D1" s="3"/>
    </row>
    <row r="2" spans="1:12" ht="18.75" customHeight="1" x14ac:dyDescent="0.3">
      <c r="A2" s="6"/>
      <c r="B2" s="53" t="s">
        <v>1</v>
      </c>
      <c r="C2" s="54"/>
      <c r="D2" s="54"/>
    </row>
    <row r="3" spans="1:12" ht="18" customHeight="1" x14ac:dyDescent="0.25">
      <c r="A3" s="7"/>
      <c r="B3" s="55" t="s">
        <v>33</v>
      </c>
      <c r="C3" s="56"/>
      <c r="D3" s="8"/>
    </row>
    <row r="4" spans="1:12" ht="4.5" customHeight="1" thickBot="1" x14ac:dyDescent="0.3">
      <c r="A4" s="9"/>
      <c r="B4" s="9"/>
      <c r="C4" s="9"/>
    </row>
    <row r="5" spans="1:12" ht="19.7" customHeight="1" thickBot="1" x14ac:dyDescent="0.3">
      <c r="B5" s="57" t="s">
        <v>2</v>
      </c>
      <c r="C5" s="50" t="s">
        <v>3</v>
      </c>
      <c r="D5" s="60" t="s">
        <v>4</v>
      </c>
      <c r="E5" s="61"/>
      <c r="F5" s="60" t="s">
        <v>5</v>
      </c>
      <c r="G5" s="61"/>
      <c r="H5" s="50" t="s">
        <v>6</v>
      </c>
      <c r="I5" s="50" t="s">
        <v>7</v>
      </c>
    </row>
    <row r="6" spans="1:12" ht="19.7" customHeight="1" thickBot="1" x14ac:dyDescent="0.3">
      <c r="B6" s="58"/>
      <c r="C6" s="59"/>
      <c r="D6" s="42" t="s">
        <v>8</v>
      </c>
      <c r="E6" s="42" t="s">
        <v>9</v>
      </c>
      <c r="F6" s="31" t="s">
        <v>8</v>
      </c>
      <c r="G6" s="31" t="s">
        <v>9</v>
      </c>
      <c r="H6" s="51"/>
      <c r="I6" s="51"/>
      <c r="K6" s="32" t="s">
        <v>26</v>
      </c>
      <c r="L6" s="33" t="s">
        <v>27</v>
      </c>
    </row>
    <row r="7" spans="1:12" x14ac:dyDescent="0.25">
      <c r="B7" s="35">
        <v>6590</v>
      </c>
      <c r="C7" s="38" t="s">
        <v>10</v>
      </c>
      <c r="D7" s="11"/>
      <c r="E7" s="12">
        <f t="shared" ref="E7:E21" si="0">+D7*B7</f>
        <v>0</v>
      </c>
      <c r="F7" s="10"/>
      <c r="G7" s="12">
        <v>0</v>
      </c>
      <c r="H7" s="10">
        <f t="shared" ref="H7:H24" si="1">D7+F7</f>
        <v>0</v>
      </c>
      <c r="I7" s="12">
        <f t="shared" ref="I7:I24" si="2">+E7+G7</f>
        <v>0</v>
      </c>
      <c r="K7" s="27">
        <v>20000</v>
      </c>
      <c r="L7" s="28"/>
    </row>
    <row r="8" spans="1:12" x14ac:dyDescent="0.25">
      <c r="B8" s="25">
        <v>6590</v>
      </c>
      <c r="C8" s="39" t="s">
        <v>11</v>
      </c>
      <c r="D8" s="45"/>
      <c r="E8" s="46">
        <f t="shared" si="0"/>
        <v>0</v>
      </c>
      <c r="F8" s="13"/>
      <c r="G8" s="14">
        <v>0</v>
      </c>
      <c r="H8" s="13">
        <f t="shared" si="1"/>
        <v>0</v>
      </c>
      <c r="I8" s="14">
        <f t="shared" si="2"/>
        <v>0</v>
      </c>
      <c r="K8" s="27">
        <v>10000</v>
      </c>
      <c r="L8" s="28"/>
    </row>
    <row r="9" spans="1:12" x14ac:dyDescent="0.25">
      <c r="B9" s="25">
        <v>6590</v>
      </c>
      <c r="C9" s="39" t="s">
        <v>24</v>
      </c>
      <c r="D9" s="45"/>
      <c r="E9" s="46">
        <f t="shared" si="0"/>
        <v>0</v>
      </c>
      <c r="F9" s="13"/>
      <c r="G9" s="14">
        <v>0</v>
      </c>
      <c r="H9" s="13">
        <f t="shared" si="1"/>
        <v>0</v>
      </c>
      <c r="I9" s="14">
        <f>+E9+G9</f>
        <v>0</v>
      </c>
      <c r="K9" s="27">
        <v>5000</v>
      </c>
      <c r="L9" s="28"/>
    </row>
    <row r="10" spans="1:12" x14ac:dyDescent="0.25">
      <c r="B10" s="25">
        <v>6590</v>
      </c>
      <c r="C10" s="39" t="s">
        <v>12</v>
      </c>
      <c r="D10" s="45"/>
      <c r="E10" s="46">
        <f t="shared" si="0"/>
        <v>0</v>
      </c>
      <c r="F10" s="13"/>
      <c r="G10" s="14">
        <v>0</v>
      </c>
      <c r="H10" s="13">
        <f t="shared" si="1"/>
        <v>0</v>
      </c>
      <c r="I10" s="14">
        <f t="shared" si="2"/>
        <v>0</v>
      </c>
      <c r="K10" s="27">
        <v>2000</v>
      </c>
      <c r="L10" s="28"/>
    </row>
    <row r="11" spans="1:12" x14ac:dyDescent="0.25">
      <c r="B11" s="25">
        <v>6590</v>
      </c>
      <c r="C11" s="39" t="s">
        <v>13</v>
      </c>
      <c r="D11" s="45"/>
      <c r="E11" s="46">
        <f t="shared" si="0"/>
        <v>0</v>
      </c>
      <c r="F11" s="13"/>
      <c r="G11" s="14">
        <v>0</v>
      </c>
      <c r="H11" s="13">
        <f t="shared" si="1"/>
        <v>0</v>
      </c>
      <c r="I11" s="14">
        <f t="shared" si="2"/>
        <v>0</v>
      </c>
      <c r="K11" s="27">
        <v>1000</v>
      </c>
      <c r="L11" s="28"/>
    </row>
    <row r="12" spans="1:12" x14ac:dyDescent="0.25">
      <c r="B12" s="25">
        <v>6590</v>
      </c>
      <c r="C12" s="39" t="s">
        <v>14</v>
      </c>
      <c r="D12" s="45"/>
      <c r="E12" s="46">
        <f t="shared" si="0"/>
        <v>0</v>
      </c>
      <c r="F12" s="13"/>
      <c r="G12" s="14">
        <v>0</v>
      </c>
      <c r="H12" s="13">
        <f t="shared" si="1"/>
        <v>0</v>
      </c>
      <c r="I12" s="14">
        <f>+E12+G12</f>
        <v>0</v>
      </c>
      <c r="K12" s="27">
        <v>500</v>
      </c>
      <c r="L12" s="28"/>
    </row>
    <row r="13" spans="1:12" x14ac:dyDescent="0.25">
      <c r="B13" s="25">
        <v>6590</v>
      </c>
      <c r="C13" s="39" t="s">
        <v>15</v>
      </c>
      <c r="D13" s="45"/>
      <c r="E13" s="46">
        <f t="shared" si="0"/>
        <v>0</v>
      </c>
      <c r="F13" s="13"/>
      <c r="G13" s="14">
        <v>0</v>
      </c>
      <c r="H13" s="13">
        <f t="shared" si="1"/>
        <v>0</v>
      </c>
      <c r="I13" s="14">
        <f t="shared" si="2"/>
        <v>0</v>
      </c>
      <c r="K13" s="27">
        <v>100</v>
      </c>
      <c r="L13" s="28"/>
    </row>
    <row r="14" spans="1:12" x14ac:dyDescent="0.25">
      <c r="B14" s="25">
        <v>6590</v>
      </c>
      <c r="C14" s="39" t="s">
        <v>16</v>
      </c>
      <c r="D14" s="45"/>
      <c r="E14" s="46">
        <f t="shared" si="0"/>
        <v>0</v>
      </c>
      <c r="F14" s="13"/>
      <c r="G14" s="14">
        <v>0</v>
      </c>
      <c r="H14" s="13">
        <f t="shared" si="1"/>
        <v>0</v>
      </c>
      <c r="I14" s="14">
        <f t="shared" si="2"/>
        <v>0</v>
      </c>
      <c r="K14" s="27">
        <v>50</v>
      </c>
      <c r="L14" s="28"/>
    </row>
    <row r="15" spans="1:12" ht="15.75" thickBot="1" x14ac:dyDescent="0.3">
      <c r="B15" s="25">
        <v>14630</v>
      </c>
      <c r="C15" s="40" t="s">
        <v>29</v>
      </c>
      <c r="D15" s="45"/>
      <c r="E15" s="46">
        <f t="shared" si="0"/>
        <v>0</v>
      </c>
      <c r="F15" s="13"/>
      <c r="G15" s="14">
        <v>0</v>
      </c>
      <c r="H15" s="13">
        <f t="shared" si="1"/>
        <v>0</v>
      </c>
      <c r="I15" s="14">
        <f t="shared" si="2"/>
        <v>0</v>
      </c>
      <c r="K15" s="29">
        <v>10</v>
      </c>
      <c r="L15" s="30"/>
    </row>
    <row r="16" spans="1:12" x14ac:dyDescent="0.25">
      <c r="B16" s="25">
        <v>14630</v>
      </c>
      <c r="C16" s="40" t="s">
        <v>30</v>
      </c>
      <c r="D16" s="45"/>
      <c r="E16" s="46">
        <f t="shared" si="0"/>
        <v>0</v>
      </c>
      <c r="F16" s="13"/>
      <c r="G16" s="14">
        <v>0</v>
      </c>
      <c r="H16" s="13">
        <f t="shared" si="1"/>
        <v>0</v>
      </c>
      <c r="I16" s="14">
        <f t="shared" si="2"/>
        <v>0</v>
      </c>
      <c r="K16" s="22"/>
      <c r="L16" s="4"/>
    </row>
    <row r="17" spans="1:12" x14ac:dyDescent="0.25">
      <c r="B17" s="25" t="s">
        <v>19</v>
      </c>
      <c r="C17" s="40" t="s">
        <v>32</v>
      </c>
      <c r="D17" s="45"/>
      <c r="E17" s="46">
        <v>0</v>
      </c>
      <c r="F17" s="13"/>
      <c r="G17" s="14">
        <v>0</v>
      </c>
      <c r="H17" s="13">
        <f t="shared" si="1"/>
        <v>0</v>
      </c>
      <c r="I17" s="14">
        <f t="shared" si="2"/>
        <v>0</v>
      </c>
      <c r="K17" s="22"/>
      <c r="L17" s="4"/>
    </row>
    <row r="18" spans="1:12" ht="15.75" thickBot="1" x14ac:dyDescent="0.3">
      <c r="B18" s="25" t="s">
        <v>19</v>
      </c>
      <c r="C18" s="39" t="s">
        <v>25</v>
      </c>
      <c r="D18" s="45"/>
      <c r="E18" s="46">
        <v>0</v>
      </c>
      <c r="F18" s="13"/>
      <c r="G18" s="14">
        <v>0</v>
      </c>
      <c r="H18" s="13">
        <f t="shared" si="1"/>
        <v>0</v>
      </c>
      <c r="I18" s="14">
        <f t="shared" si="2"/>
        <v>0</v>
      </c>
    </row>
    <row r="19" spans="1:12" ht="15.75" thickBot="1" x14ac:dyDescent="0.3">
      <c r="B19" s="36">
        <v>14630</v>
      </c>
      <c r="C19" s="39" t="s">
        <v>17</v>
      </c>
      <c r="D19" s="45"/>
      <c r="E19" s="46">
        <f t="shared" si="0"/>
        <v>0</v>
      </c>
      <c r="F19" s="13"/>
      <c r="G19" s="14">
        <v>0</v>
      </c>
      <c r="H19" s="13">
        <f t="shared" si="1"/>
        <v>0</v>
      </c>
      <c r="I19" s="14">
        <f t="shared" si="2"/>
        <v>0</v>
      </c>
      <c r="K19" s="34" t="s">
        <v>28</v>
      </c>
      <c r="L19" s="49">
        <f>SUM(L7:L15)</f>
        <v>0</v>
      </c>
    </row>
    <row r="20" spans="1:12" x14ac:dyDescent="0.25">
      <c r="B20" s="25">
        <v>12580</v>
      </c>
      <c r="C20" s="39" t="s">
        <v>18</v>
      </c>
      <c r="D20" s="45"/>
      <c r="E20" s="46">
        <f t="shared" si="0"/>
        <v>0</v>
      </c>
      <c r="F20" s="13"/>
      <c r="G20" s="14">
        <v>0</v>
      </c>
      <c r="H20" s="13">
        <f t="shared" si="1"/>
        <v>0</v>
      </c>
      <c r="I20" s="14">
        <f t="shared" si="2"/>
        <v>0</v>
      </c>
    </row>
    <row r="21" spans="1:12" x14ac:dyDescent="0.25">
      <c r="B21" s="25">
        <v>7220</v>
      </c>
      <c r="C21" s="39" t="s">
        <v>0</v>
      </c>
      <c r="D21" s="45"/>
      <c r="E21" s="46">
        <f t="shared" si="0"/>
        <v>0</v>
      </c>
      <c r="F21" s="13"/>
      <c r="G21" s="14">
        <v>0</v>
      </c>
      <c r="H21" s="13">
        <f t="shared" si="1"/>
        <v>0</v>
      </c>
      <c r="I21" s="14">
        <f t="shared" si="2"/>
        <v>0</v>
      </c>
    </row>
    <row r="22" spans="1:12" x14ac:dyDescent="0.25">
      <c r="B22" s="25" t="s">
        <v>19</v>
      </c>
      <c r="C22" s="39" t="s">
        <v>31</v>
      </c>
      <c r="D22" s="45"/>
      <c r="E22" s="46">
        <v>0</v>
      </c>
      <c r="F22" s="13"/>
      <c r="G22" s="14">
        <v>0</v>
      </c>
      <c r="H22" s="13">
        <f t="shared" si="1"/>
        <v>0</v>
      </c>
      <c r="I22" s="14">
        <f t="shared" si="2"/>
        <v>0</v>
      </c>
    </row>
    <row r="23" spans="1:12" x14ac:dyDescent="0.25">
      <c r="B23" s="25" t="s">
        <v>19</v>
      </c>
      <c r="C23" s="39" t="s">
        <v>20</v>
      </c>
      <c r="D23" s="45"/>
      <c r="E23" s="46">
        <v>0</v>
      </c>
      <c r="F23" s="13"/>
      <c r="G23" s="14">
        <v>0</v>
      </c>
      <c r="H23" s="13">
        <f t="shared" si="1"/>
        <v>0</v>
      </c>
      <c r="I23" s="14">
        <f t="shared" si="2"/>
        <v>0</v>
      </c>
    </row>
    <row r="24" spans="1:12" ht="15.75" thickBot="1" x14ac:dyDescent="0.3">
      <c r="B24" s="26" t="s">
        <v>19</v>
      </c>
      <c r="C24" s="41" t="s">
        <v>21</v>
      </c>
      <c r="D24" s="47"/>
      <c r="E24" s="48">
        <v>0</v>
      </c>
      <c r="F24" s="37"/>
      <c r="G24" s="14">
        <v>0</v>
      </c>
      <c r="H24" s="13">
        <f t="shared" si="1"/>
        <v>0</v>
      </c>
      <c r="I24" s="14">
        <f t="shared" si="2"/>
        <v>0</v>
      </c>
    </row>
    <row r="25" spans="1:12" ht="15.75" thickBot="1" x14ac:dyDescent="0.3">
      <c r="D25" s="43">
        <f>SUM(D7:D24)</f>
        <v>0</v>
      </c>
      <c r="E25" s="44">
        <f t="shared" ref="E25:I25" si="3">SUM(E7:E23)</f>
        <v>0</v>
      </c>
      <c r="F25" s="17">
        <f>SUM(F7:F24)</f>
        <v>0</v>
      </c>
      <c r="G25" s="16">
        <f t="shared" si="3"/>
        <v>0</v>
      </c>
      <c r="H25" s="18">
        <f t="shared" si="3"/>
        <v>0</v>
      </c>
      <c r="I25" s="19">
        <f t="shared" si="3"/>
        <v>0</v>
      </c>
      <c r="J25" s="15"/>
    </row>
    <row r="26" spans="1:12" x14ac:dyDescent="0.25">
      <c r="E26" s="20"/>
      <c r="J26" s="15"/>
    </row>
    <row r="27" spans="1:12" x14ac:dyDescent="0.25">
      <c r="E27" s="20"/>
      <c r="J27" s="15"/>
    </row>
    <row r="28" spans="1:12" x14ac:dyDescent="0.25">
      <c r="E28" s="20"/>
      <c r="J28" s="15"/>
    </row>
    <row r="29" spans="1:12" x14ac:dyDescent="0.25">
      <c r="A29" s="21"/>
      <c r="B29" s="21" t="s">
        <v>22</v>
      </c>
      <c r="C29" s="21"/>
      <c r="E29" s="20"/>
    </row>
    <row r="30" spans="1:12" x14ac:dyDescent="0.25">
      <c r="C30" s="15"/>
      <c r="D30" s="22"/>
      <c r="E30" s="21"/>
      <c r="F30" s="21"/>
      <c r="G30" s="21"/>
      <c r="H30" s="21"/>
      <c r="I30" s="21"/>
    </row>
    <row r="31" spans="1:12" x14ac:dyDescent="0.25">
      <c r="B31" s="4"/>
      <c r="C31" s="15"/>
      <c r="E31" s="5"/>
      <c r="G31" s="21"/>
      <c r="H31" s="21"/>
      <c r="I31" s="21"/>
    </row>
    <row r="32" spans="1:12" x14ac:dyDescent="0.25">
      <c r="B32" s="4"/>
      <c r="C32" s="15"/>
      <c r="G32" s="21"/>
      <c r="H32" s="21"/>
      <c r="I32" s="21"/>
    </row>
    <row r="33" spans="1:9" x14ac:dyDescent="0.25">
      <c r="C33" s="15"/>
      <c r="E33" s="5"/>
      <c r="G33" s="21"/>
      <c r="H33" s="21"/>
      <c r="I33" s="21"/>
    </row>
    <row r="34" spans="1:9" x14ac:dyDescent="0.25">
      <c r="B34" s="4"/>
      <c r="C34" s="4"/>
      <c r="G34" s="21"/>
      <c r="H34" s="21"/>
      <c r="I34" s="21"/>
    </row>
    <row r="35" spans="1:9" ht="15.75" x14ac:dyDescent="0.25">
      <c r="C35" s="24">
        <f>+I25-C30-C31-C32</f>
        <v>0</v>
      </c>
    </row>
    <row r="36" spans="1:9" ht="18.75" x14ac:dyDescent="0.3">
      <c r="G36" s="52"/>
      <c r="H36" s="52"/>
    </row>
    <row r="37" spans="1:9" s="21" customFormat="1" x14ac:dyDescent="0.25">
      <c r="A37" s="5"/>
      <c r="B37" s="5"/>
      <c r="C37" s="5"/>
      <c r="D37" s="4"/>
      <c r="E37" s="4"/>
      <c r="F37" s="5"/>
      <c r="G37" s="23" t="s">
        <v>23</v>
      </c>
      <c r="H37" s="23"/>
      <c r="I37" s="23"/>
    </row>
    <row r="41" spans="1:9" x14ac:dyDescent="0.25">
      <c r="F41" s="15"/>
    </row>
  </sheetData>
  <mergeCells count="9">
    <mergeCell ref="H5:H6"/>
    <mergeCell ref="I5:I6"/>
    <mergeCell ref="G36:H36"/>
    <mergeCell ref="B2:D2"/>
    <mergeCell ref="B3:C3"/>
    <mergeCell ref="B5:B6"/>
    <mergeCell ref="C5:C6"/>
    <mergeCell ref="D5:E5"/>
    <mergeCell ref="F5:G5"/>
  </mergeCells>
  <pageMargins left="0.78740157480314965" right="0.23622047244094491" top="0.39370078740157483" bottom="0.19685039370078741" header="0" footer="0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26-04-2022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INSI4</dc:creator>
  <cp:lastModifiedBy>INSI8</cp:lastModifiedBy>
  <dcterms:created xsi:type="dcterms:W3CDTF">2020-12-28T13:36:13Z</dcterms:created>
  <dcterms:modified xsi:type="dcterms:W3CDTF">2022-06-10T15:05:24Z</dcterms:modified>
</cp:coreProperties>
</file>
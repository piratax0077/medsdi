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5580" windowWidth="15360" windowHeight="2175"/>
  </bookViews>
  <sheets>
    <sheet name="I-MED - SEG" sheetId="2" r:id="rId1"/>
    <sheet name="BONO I-MED" sheetId="3" r:id="rId2"/>
    <sheet name="03-01" sheetId="56" r:id="rId3"/>
    <sheet name="04-01" sheetId="59" r:id="rId4"/>
    <sheet name="05-01" sheetId="32" r:id="rId5"/>
    <sheet name="06-01" sheetId="33" r:id="rId6"/>
    <sheet name="07-01" sheetId="34" r:id="rId7"/>
    <sheet name="08-01" sheetId="36" r:id="rId8"/>
    <sheet name="10-01" sheetId="35" r:id="rId9"/>
    <sheet name="11-01" sheetId="38" r:id="rId10"/>
    <sheet name="12-01" sheetId="39" r:id="rId11"/>
    <sheet name="13-01" sheetId="40" r:id="rId12"/>
    <sheet name="14-01" sheetId="41" r:id="rId13"/>
    <sheet name="15-01" sheetId="42" r:id="rId14"/>
    <sheet name="17-01" sheetId="43" r:id="rId15"/>
    <sheet name="18-01" sheetId="44" r:id="rId16"/>
    <sheet name="19-01" sheetId="45" r:id="rId17"/>
    <sheet name="20-01" sheetId="46" r:id="rId18"/>
    <sheet name="21-12" sheetId="47" r:id="rId19"/>
    <sheet name="22-01" sheetId="48" r:id="rId20"/>
    <sheet name="24-01" sheetId="49" r:id="rId21"/>
    <sheet name="25-01" sheetId="50" r:id="rId22"/>
    <sheet name="26-01" sheetId="51" r:id="rId23"/>
    <sheet name="27-01" sheetId="52" r:id="rId24"/>
    <sheet name="28-01" sheetId="53" r:id="rId25"/>
    <sheet name="29-01" sheetId="54" r:id="rId26"/>
    <sheet name="31-01" sheetId="55" r:id="rId27"/>
    <sheet name="31-08" sheetId="58" r:id="rId28"/>
  </sheets>
  <definedNames>
    <definedName name="_xlnm.Print_Area" localSheetId="2">'03-01'!$B$2:$AD$23</definedName>
    <definedName name="_xlnm.Print_Area" localSheetId="4">'05-01'!$B$2:$X$23</definedName>
    <definedName name="_xlnm.Print_Area" localSheetId="5">'06-01'!$B$2:$X$23</definedName>
    <definedName name="_xlnm.Print_Area" localSheetId="6">'07-01'!$B$2:$X$23</definedName>
    <definedName name="_xlnm.Print_Area" localSheetId="7">'08-01'!$B$2:$X$23</definedName>
    <definedName name="_xlnm.Print_Area" localSheetId="8">'10-01'!$B$2:$X$23</definedName>
    <definedName name="_xlnm.Print_Area" localSheetId="9">'11-01'!$B$2:$X$23</definedName>
    <definedName name="_xlnm.Print_Area" localSheetId="10">'12-01'!$B$2:$X$23</definedName>
    <definedName name="_xlnm.Print_Area" localSheetId="11">'13-01'!$B$2:$X$23</definedName>
    <definedName name="_xlnm.Print_Area" localSheetId="12">'14-01'!$B$2:$X$23</definedName>
    <definedName name="_xlnm.Print_Area" localSheetId="13">'15-01'!$B$2:$X$23</definedName>
    <definedName name="_xlnm.Print_Area" localSheetId="14">'17-01'!$B$2:$X$23</definedName>
    <definedName name="_xlnm.Print_Area" localSheetId="15">'18-01'!$B$2:$X$23</definedName>
    <definedName name="_xlnm.Print_Area" localSheetId="16">'19-01'!$B$2:$X$23</definedName>
    <definedName name="_xlnm.Print_Area" localSheetId="17">'20-01'!$B$2:$X$23</definedName>
    <definedName name="_xlnm.Print_Area" localSheetId="18">'21-12'!$B$2:$X$23</definedName>
    <definedName name="_xlnm.Print_Area" localSheetId="19">'22-01'!$B$2:$X$23</definedName>
    <definedName name="_xlnm.Print_Area" localSheetId="20">'24-01'!$B$2:$X$23</definedName>
    <definedName name="_xlnm.Print_Area" localSheetId="21">'25-01'!$B$2:$X$23</definedName>
    <definedName name="_xlnm.Print_Area" localSheetId="22">'26-01'!$B$2:$X$23</definedName>
    <definedName name="_xlnm.Print_Area" localSheetId="23">'27-01'!$B$2:$X$23</definedName>
    <definedName name="_xlnm.Print_Area" localSheetId="24">'28-01'!$B$2:$X$23</definedName>
    <definedName name="_xlnm.Print_Area" localSheetId="25">'29-01'!$B$2:$X$23</definedName>
    <definedName name="_xlnm.Print_Area" localSheetId="26">'31-01'!$B$2:$X$23</definedName>
    <definedName name="_xlnm.Print_Area" localSheetId="27">'31-08'!$B$2:$X$26</definedName>
  </definedNames>
  <calcPr calcId="145621"/>
</workbook>
</file>

<file path=xl/calcChain.xml><?xml version="1.0" encoding="utf-8"?>
<calcChain xmlns="http://schemas.openxmlformats.org/spreadsheetml/2006/main">
  <c r="W10" i="2" l="1"/>
  <c r="W11" i="2"/>
  <c r="W12" i="2"/>
  <c r="W13" i="2"/>
  <c r="W14" i="2"/>
  <c r="W15" i="2"/>
  <c r="W16" i="2"/>
  <c r="W17" i="2"/>
  <c r="W18" i="2"/>
  <c r="W19" i="2"/>
  <c r="W20" i="2"/>
  <c r="W21" i="2"/>
  <c r="W22" i="2"/>
  <c r="W9" i="2"/>
  <c r="W8" i="2"/>
  <c r="E28" i="3" l="1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27" i="3"/>
  <c r="S21" i="55"/>
  <c r="S11" i="55"/>
  <c r="S10" i="55"/>
  <c r="AE14" i="55"/>
  <c r="AE11" i="55"/>
  <c r="Y11" i="55"/>
  <c r="Y21" i="55"/>
  <c r="Y14" i="55"/>
  <c r="Y10" i="55"/>
  <c r="S11" i="54"/>
  <c r="S11" i="53"/>
  <c r="S21" i="53"/>
  <c r="S9" i="53"/>
  <c r="M11" i="53"/>
  <c r="M9" i="53"/>
  <c r="M21" i="53"/>
  <c r="Y18" i="52"/>
  <c r="Y11" i="52"/>
  <c r="Y19" i="52"/>
  <c r="Y21" i="52"/>
  <c r="S9" i="52"/>
  <c r="S19" i="52"/>
  <c r="S11" i="52"/>
  <c r="S11" i="51"/>
  <c r="S14" i="51"/>
  <c r="Y14" i="51"/>
  <c r="Y21" i="51"/>
  <c r="Y11" i="51"/>
  <c r="Y18" i="50"/>
  <c r="Y11" i="50"/>
  <c r="AE8" i="50"/>
  <c r="Y8" i="50"/>
  <c r="Y9" i="50"/>
  <c r="Y13" i="50"/>
  <c r="AA36" i="50"/>
  <c r="S9" i="50"/>
  <c r="S11" i="50"/>
  <c r="S19" i="50"/>
  <c r="S13" i="50"/>
  <c r="AA36" i="49"/>
  <c r="Y22" i="49"/>
  <c r="Y21" i="49"/>
  <c r="Y10" i="49"/>
  <c r="AE11" i="49"/>
  <c r="Y11" i="49"/>
  <c r="Y9" i="49"/>
  <c r="Y8" i="49"/>
  <c r="S8" i="49"/>
  <c r="S14" i="49"/>
  <c r="S11" i="49"/>
  <c r="S10" i="49"/>
  <c r="S13" i="49"/>
  <c r="AE21" i="49"/>
  <c r="S21" i="49"/>
  <c r="S22" i="49"/>
  <c r="G21" i="49" l="1"/>
  <c r="G11" i="49"/>
  <c r="G8" i="49"/>
  <c r="U36" i="48" l="1"/>
  <c r="AE11" i="48"/>
  <c r="S11" i="48"/>
  <c r="S9" i="48"/>
  <c r="O36" i="47"/>
  <c r="M9" i="47"/>
  <c r="M22" i="47"/>
  <c r="AE11" i="47"/>
  <c r="M11" i="47"/>
  <c r="M21" i="47"/>
  <c r="M10" i="47"/>
  <c r="AE21" i="47"/>
  <c r="Y21" i="47"/>
  <c r="Y8" i="47"/>
  <c r="Y11" i="47"/>
  <c r="Y22" i="47"/>
  <c r="U36" i="47"/>
  <c r="S22" i="47"/>
  <c r="S21" i="47"/>
  <c r="S11" i="47"/>
  <c r="S10" i="47"/>
  <c r="S9" i="47"/>
  <c r="S8" i="47"/>
  <c r="AE11" i="46" l="1"/>
  <c r="Y22" i="46"/>
  <c r="AE12" i="46"/>
  <c r="S12" i="46"/>
  <c r="S11" i="46"/>
  <c r="S15" i="46"/>
  <c r="S9" i="46"/>
  <c r="AA36" i="46"/>
  <c r="Y21" i="46"/>
  <c r="Y12" i="46"/>
  <c r="Y11" i="46"/>
  <c r="Y9" i="46"/>
  <c r="Y8" i="46"/>
  <c r="M22" i="46" l="1"/>
  <c r="M21" i="46"/>
  <c r="M8" i="46"/>
  <c r="AE21" i="45" l="1"/>
  <c r="M21" i="45"/>
  <c r="M12" i="45"/>
  <c r="M22" i="45"/>
  <c r="AE11" i="45"/>
  <c r="M11" i="45"/>
  <c r="M14" i="45"/>
  <c r="M9" i="45"/>
  <c r="S22" i="45"/>
  <c r="U36" i="45"/>
  <c r="S21" i="45"/>
  <c r="S12" i="45"/>
  <c r="S11" i="45"/>
  <c r="S9" i="45"/>
  <c r="S8" i="45"/>
  <c r="G22" i="45" l="1"/>
  <c r="G8" i="45"/>
  <c r="AE9" i="44" l="1"/>
  <c r="AE12" i="44"/>
  <c r="G22" i="44"/>
  <c r="S13" i="44"/>
  <c r="AE21" i="44"/>
  <c r="S21" i="44"/>
  <c r="S17" i="44"/>
  <c r="S9" i="44"/>
  <c r="S22" i="44"/>
  <c r="S12" i="44"/>
  <c r="S15" i="44"/>
  <c r="S11" i="44"/>
  <c r="S8" i="44"/>
  <c r="AA36" i="44"/>
  <c r="Y22" i="44"/>
  <c r="Y9" i="44"/>
  <c r="Y21" i="44"/>
  <c r="Y17" i="44"/>
  <c r="Y13" i="44"/>
  <c r="Y12" i="44"/>
  <c r="Y11" i="44"/>
  <c r="Y8" i="44"/>
  <c r="G21" i="44"/>
  <c r="G8" i="44"/>
  <c r="AA36" i="43" l="1"/>
  <c r="G22" i="43"/>
  <c r="G21" i="43"/>
  <c r="G8" i="43"/>
  <c r="Y10" i="43"/>
  <c r="Y21" i="43"/>
  <c r="Y12" i="43"/>
  <c r="Y11" i="43"/>
  <c r="Y9" i="43"/>
  <c r="Y22" i="43"/>
  <c r="Y8" i="43"/>
  <c r="S22" i="43"/>
  <c r="S10" i="43"/>
  <c r="S21" i="43"/>
  <c r="S14" i="43"/>
  <c r="S13" i="43"/>
  <c r="S12" i="43"/>
  <c r="S11" i="43"/>
  <c r="AE11" i="43"/>
  <c r="S9" i="43"/>
  <c r="AA36" i="40" l="1"/>
  <c r="AI11" i="42" l="1"/>
  <c r="S11" i="42"/>
  <c r="AE10" i="41"/>
  <c r="AA36" i="41"/>
  <c r="Y11" i="41"/>
  <c r="Y10" i="41"/>
  <c r="Y21" i="41"/>
  <c r="Y22" i="41"/>
  <c r="AE8" i="41"/>
  <c r="Y8" i="41"/>
  <c r="S10" i="41"/>
  <c r="S21" i="41"/>
  <c r="S11" i="41"/>
  <c r="S22" i="41"/>
  <c r="S8" i="41"/>
  <c r="AB9" i="41"/>
  <c r="AB10" i="41"/>
  <c r="AB11" i="41"/>
  <c r="AB12" i="41"/>
  <c r="AB13" i="41"/>
  <c r="AB14" i="41"/>
  <c r="AB15" i="41"/>
  <c r="AB16" i="41"/>
  <c r="AB17" i="41"/>
  <c r="AB18" i="41"/>
  <c r="AB19" i="41"/>
  <c r="AB20" i="41"/>
  <c r="AB21" i="41"/>
  <c r="AB22" i="41"/>
  <c r="AB8" i="41"/>
  <c r="AB9" i="2" l="1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8" i="2"/>
  <c r="AB9" i="43"/>
  <c r="AB10" i="43"/>
  <c r="AB11" i="43"/>
  <c r="AB12" i="43"/>
  <c r="AB13" i="43"/>
  <c r="AB14" i="43"/>
  <c r="AB15" i="43"/>
  <c r="AB16" i="43"/>
  <c r="AB17" i="43"/>
  <c r="AB18" i="43"/>
  <c r="AB19" i="43"/>
  <c r="AB20" i="43"/>
  <c r="AB21" i="43"/>
  <c r="AB22" i="43"/>
  <c r="AB8" i="43"/>
  <c r="G21" i="41"/>
  <c r="G8" i="41"/>
  <c r="M22" i="40"/>
  <c r="AB9" i="40"/>
  <c r="AB10" i="40"/>
  <c r="AB11" i="40"/>
  <c r="AB12" i="40"/>
  <c r="AB13" i="40"/>
  <c r="AB14" i="40"/>
  <c r="AB15" i="40"/>
  <c r="AB16" i="40"/>
  <c r="AB17" i="40"/>
  <c r="AB18" i="40"/>
  <c r="AB19" i="40"/>
  <c r="AB20" i="40"/>
  <c r="AB21" i="40"/>
  <c r="AB22" i="40"/>
  <c r="AB8" i="40"/>
  <c r="Y21" i="40"/>
  <c r="Y22" i="40"/>
  <c r="Y11" i="40"/>
  <c r="Y8" i="40"/>
  <c r="Y12" i="40"/>
  <c r="M21" i="40"/>
  <c r="M8" i="40"/>
  <c r="S21" i="40"/>
  <c r="S11" i="40"/>
  <c r="S22" i="40"/>
  <c r="S8" i="40"/>
  <c r="S15" i="40"/>
  <c r="S12" i="40"/>
  <c r="AA36" i="39" l="1"/>
  <c r="AE8" i="39"/>
  <c r="Y8" i="39"/>
  <c r="Y21" i="39"/>
  <c r="Y11" i="39"/>
  <c r="Y12" i="39"/>
  <c r="Y22" i="39"/>
  <c r="S22" i="39"/>
  <c r="S11" i="39"/>
  <c r="S12" i="39"/>
  <c r="S8" i="39"/>
  <c r="S21" i="39"/>
  <c r="S14" i="39"/>
  <c r="G11" i="39" l="1"/>
  <c r="G8" i="39"/>
  <c r="U36" i="38" l="1"/>
  <c r="AE21" i="38"/>
  <c r="AE22" i="38"/>
  <c r="AE8" i="38"/>
  <c r="U37" i="38"/>
  <c r="AA37" i="38"/>
  <c r="AA39" i="38" s="1"/>
  <c r="S8" i="38"/>
  <c r="S11" i="38"/>
  <c r="S12" i="38"/>
  <c r="S15" i="38"/>
  <c r="S17" i="38"/>
  <c r="S21" i="38"/>
  <c r="S22" i="38"/>
  <c r="Y22" i="38"/>
  <c r="Y21" i="38"/>
  <c r="Y19" i="38"/>
  <c r="Y17" i="38"/>
  <c r="Y12" i="38"/>
  <c r="Y11" i="38"/>
  <c r="Y8" i="38"/>
  <c r="G22" i="38" l="1"/>
  <c r="G21" i="38"/>
  <c r="G12" i="38"/>
  <c r="G11" i="38"/>
  <c r="G8" i="38"/>
  <c r="G22" i="35"/>
  <c r="G21" i="35"/>
  <c r="G8" i="35"/>
  <c r="U36" i="35"/>
  <c r="S10" i="35"/>
  <c r="S11" i="35"/>
  <c r="S21" i="35"/>
  <c r="S22" i="35"/>
  <c r="S8" i="35"/>
  <c r="Y21" i="35"/>
  <c r="Y14" i="35"/>
  <c r="Y22" i="35"/>
  <c r="Y8" i="35"/>
  <c r="Y11" i="35"/>
  <c r="Y10" i="35"/>
  <c r="U36" i="36" l="1"/>
  <c r="S9" i="36"/>
  <c r="AE11" i="36"/>
  <c r="S11" i="36"/>
  <c r="S18" i="36"/>
  <c r="S11" i="34"/>
  <c r="S8" i="34"/>
  <c r="AA36" i="34"/>
  <c r="Y9" i="34"/>
  <c r="Y8" i="34"/>
  <c r="AE10" i="34"/>
  <c r="Y10" i="34"/>
  <c r="Y11" i="34"/>
  <c r="U36" i="34"/>
  <c r="S21" i="34"/>
  <c r="S22" i="34"/>
  <c r="S10" i="34"/>
  <c r="S9" i="34"/>
  <c r="M21" i="34"/>
  <c r="M10" i="34"/>
  <c r="G8" i="34"/>
  <c r="AC24" i="59" l="1"/>
  <c r="AC19" i="33" l="1"/>
  <c r="AC18" i="33"/>
  <c r="AC21" i="33"/>
  <c r="O36" i="33"/>
  <c r="AE12" i="33"/>
  <c r="M12" i="33"/>
  <c r="M21" i="33"/>
  <c r="M9" i="33"/>
  <c r="M22" i="33"/>
  <c r="M11" i="33"/>
  <c r="M19" i="33"/>
  <c r="M8" i="33"/>
  <c r="AA36" i="33"/>
  <c r="Y8" i="33"/>
  <c r="Y9" i="33"/>
  <c r="Y11" i="33"/>
  <c r="Y15" i="33"/>
  <c r="Y21" i="33"/>
  <c r="Y12" i="33"/>
  <c r="G22" i="33" l="1"/>
  <c r="G21" i="33"/>
  <c r="G19" i="33"/>
  <c r="G12" i="33"/>
  <c r="G11" i="33"/>
  <c r="G8" i="33"/>
  <c r="G22" i="32"/>
  <c r="AI21" i="32"/>
  <c r="Y21" i="32"/>
  <c r="S14" i="32"/>
  <c r="S9" i="32"/>
  <c r="S22" i="32"/>
  <c r="S8" i="32"/>
  <c r="S12" i="32"/>
  <c r="S11" i="32"/>
  <c r="M21" i="32"/>
  <c r="M22" i="32"/>
  <c r="M12" i="32"/>
  <c r="M11" i="32"/>
  <c r="M9" i="32"/>
  <c r="M8" i="32"/>
  <c r="G8" i="32" l="1"/>
  <c r="AA39" i="59" l="1"/>
  <c r="U39" i="59"/>
  <c r="S8" i="59" l="1"/>
  <c r="Y13" i="59"/>
  <c r="Y22" i="59"/>
  <c r="AE21" i="59"/>
  <c r="G17" i="59"/>
  <c r="G21" i="59"/>
  <c r="G9" i="59"/>
  <c r="G13" i="59"/>
  <c r="U36" i="59"/>
  <c r="S13" i="59"/>
  <c r="S17" i="59"/>
  <c r="S18" i="59"/>
  <c r="S21" i="59"/>
  <c r="S15" i="59"/>
  <c r="S12" i="59"/>
  <c r="AE11" i="59"/>
  <c r="S11" i="59"/>
  <c r="S22" i="59"/>
  <c r="S9" i="59"/>
  <c r="Y15" i="59"/>
  <c r="Y12" i="59"/>
  <c r="Y11" i="59"/>
  <c r="Y9" i="59"/>
  <c r="Y8" i="59"/>
  <c r="Y17" i="59"/>
  <c r="Y19" i="59"/>
  <c r="Y21" i="59"/>
  <c r="I36" i="56"/>
  <c r="AC13" i="56"/>
  <c r="AC10" i="56" l="1"/>
  <c r="G8" i="56"/>
  <c r="G21" i="56"/>
  <c r="G22" i="56"/>
  <c r="G12" i="56"/>
  <c r="AE11" i="56"/>
  <c r="G11" i="56"/>
  <c r="Y21" i="56"/>
  <c r="Y12" i="56"/>
  <c r="Y9" i="56"/>
  <c r="Y11" i="56"/>
  <c r="Y8" i="56"/>
  <c r="Y10" i="56"/>
  <c r="Y22" i="56"/>
  <c r="S22" i="56"/>
  <c r="S21" i="56"/>
  <c r="S8" i="56"/>
  <c r="S9" i="56"/>
  <c r="S12" i="56"/>
  <c r="S11" i="56"/>
  <c r="S14" i="56"/>
  <c r="S10" i="56"/>
  <c r="S13" i="56"/>
  <c r="U16" i="56" l="1"/>
  <c r="U37" i="48" l="1"/>
  <c r="H9" i="2" l="1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8" i="2"/>
  <c r="AB9" i="34" l="1"/>
  <c r="AB10" i="34"/>
  <c r="AB11" i="34"/>
  <c r="AB12" i="34"/>
  <c r="AB13" i="34"/>
  <c r="AB14" i="34"/>
  <c r="AB15" i="34"/>
  <c r="AB16" i="34"/>
  <c r="AB17" i="34"/>
  <c r="AB18" i="34"/>
  <c r="AB19" i="34"/>
  <c r="AB20" i="34"/>
  <c r="AB21" i="34"/>
  <c r="AB22" i="34"/>
  <c r="AB8" i="34"/>
  <c r="AB9" i="36"/>
  <c r="AB10" i="36"/>
  <c r="AB11" i="36"/>
  <c r="AB12" i="36"/>
  <c r="AB13" i="36"/>
  <c r="AB14" i="36"/>
  <c r="AB15" i="36"/>
  <c r="AB16" i="36"/>
  <c r="AB17" i="36"/>
  <c r="AB18" i="36"/>
  <c r="AB19" i="36"/>
  <c r="AB20" i="36"/>
  <c r="AB21" i="36"/>
  <c r="AB22" i="36"/>
  <c r="AB8" i="36"/>
  <c r="AB9" i="56"/>
  <c r="AB10" i="56"/>
  <c r="AB11" i="56"/>
  <c r="AB12" i="56"/>
  <c r="AB13" i="56"/>
  <c r="AB14" i="56"/>
  <c r="AB15" i="56"/>
  <c r="AB16" i="56"/>
  <c r="AB17" i="56"/>
  <c r="AB18" i="56"/>
  <c r="AB19" i="56"/>
  <c r="AB20" i="56"/>
  <c r="AB21" i="56"/>
  <c r="AB22" i="56"/>
  <c r="AB8" i="56"/>
  <c r="AB9" i="59"/>
  <c r="AB10" i="59"/>
  <c r="AB11" i="59"/>
  <c r="AB12" i="59"/>
  <c r="AB13" i="59"/>
  <c r="AB14" i="59"/>
  <c r="AB15" i="59"/>
  <c r="AB16" i="59"/>
  <c r="AB17" i="59"/>
  <c r="AB18" i="59"/>
  <c r="AB19" i="59"/>
  <c r="AB20" i="59"/>
  <c r="AB21" i="59"/>
  <c r="AB22" i="59"/>
  <c r="AB8" i="59"/>
  <c r="AB9" i="32"/>
  <c r="AB10" i="32"/>
  <c r="AB11" i="32"/>
  <c r="AB12" i="32"/>
  <c r="AB13" i="32"/>
  <c r="AB14" i="32"/>
  <c r="AB15" i="32"/>
  <c r="AB16" i="32"/>
  <c r="AB17" i="32"/>
  <c r="AB18" i="32"/>
  <c r="AB19" i="32"/>
  <c r="AB20" i="32"/>
  <c r="AB21" i="32"/>
  <c r="AB22" i="32"/>
  <c r="AB8" i="32"/>
  <c r="AB9" i="33"/>
  <c r="AB10" i="33"/>
  <c r="AB11" i="33"/>
  <c r="AB12" i="33"/>
  <c r="AB13" i="33"/>
  <c r="AB14" i="33"/>
  <c r="AB15" i="33"/>
  <c r="AB16" i="33"/>
  <c r="AB17" i="33"/>
  <c r="AB18" i="33"/>
  <c r="AB19" i="33"/>
  <c r="AB20" i="33"/>
  <c r="AB21" i="33"/>
  <c r="AB22" i="33"/>
  <c r="AB8" i="33"/>
  <c r="W11" i="32" l="1"/>
  <c r="W9" i="56" l="1"/>
  <c r="W10" i="56"/>
  <c r="AA10" i="56" s="1"/>
  <c r="W11" i="56"/>
  <c r="W12" i="56"/>
  <c r="W13" i="56"/>
  <c r="W14" i="56"/>
  <c r="W15" i="56"/>
  <c r="Z10" i="56"/>
  <c r="E9" i="2" l="1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8" i="2"/>
  <c r="AE23" i="45" l="1"/>
  <c r="Z18" i="40" l="1"/>
  <c r="AA37" i="41" l="1"/>
  <c r="K9" i="35" l="1"/>
  <c r="K10" i="35"/>
  <c r="K11" i="35"/>
  <c r="K12" i="35"/>
  <c r="K13" i="35"/>
  <c r="K14" i="35"/>
  <c r="K15" i="35"/>
  <c r="K17" i="35"/>
  <c r="K18" i="35"/>
  <c r="K19" i="35"/>
  <c r="K8" i="35"/>
  <c r="U37" i="59" l="1"/>
  <c r="O37" i="59"/>
  <c r="I37" i="59"/>
  <c r="AC37" i="59" s="1"/>
  <c r="AA37" i="59"/>
  <c r="AE23" i="59"/>
  <c r="X23" i="59"/>
  <c r="V23" i="59"/>
  <c r="S23" i="59"/>
  <c r="R23" i="59"/>
  <c r="P23" i="59"/>
  <c r="M23" i="59"/>
  <c r="L23" i="59"/>
  <c r="J23" i="59"/>
  <c r="G23" i="59"/>
  <c r="F23" i="59"/>
  <c r="D23" i="59"/>
  <c r="AM22" i="59"/>
  <c r="AK22" i="59"/>
  <c r="E22" i="3" s="1"/>
  <c r="AI22" i="59"/>
  <c r="AG22" i="59"/>
  <c r="AC22" i="59"/>
  <c r="AA22" i="59"/>
  <c r="Z22" i="59"/>
  <c r="U22" i="59"/>
  <c r="T22" i="59"/>
  <c r="O22" i="59"/>
  <c r="N22" i="59"/>
  <c r="I22" i="59"/>
  <c r="H22" i="59"/>
  <c r="AM21" i="59"/>
  <c r="AK21" i="59"/>
  <c r="E21" i="3" s="1"/>
  <c r="AI21" i="59"/>
  <c r="AG21" i="59"/>
  <c r="AC21" i="59"/>
  <c r="AA21" i="59"/>
  <c r="Z21" i="59"/>
  <c r="U21" i="59"/>
  <c r="T21" i="59"/>
  <c r="O21" i="59"/>
  <c r="N21" i="59"/>
  <c r="I21" i="59"/>
  <c r="H21" i="59"/>
  <c r="AM20" i="59"/>
  <c r="AK20" i="59"/>
  <c r="E20" i="3" s="1"/>
  <c r="AI20" i="59"/>
  <c r="AG20" i="59"/>
  <c r="AC20" i="59"/>
  <c r="AA20" i="59"/>
  <c r="Z20" i="59"/>
  <c r="U20" i="59"/>
  <c r="T20" i="59"/>
  <c r="O20" i="59"/>
  <c r="N20" i="59"/>
  <c r="I20" i="59"/>
  <c r="H20" i="59"/>
  <c r="AM19" i="59"/>
  <c r="AK19" i="59"/>
  <c r="E19" i="3" s="1"/>
  <c r="AI19" i="59"/>
  <c r="Z19" i="59"/>
  <c r="W19" i="59"/>
  <c r="T19" i="59"/>
  <c r="Q19" i="59"/>
  <c r="U19" i="59" s="1"/>
  <c r="N19" i="59"/>
  <c r="H19" i="59"/>
  <c r="K19" i="59" s="1"/>
  <c r="O19" i="59" s="1"/>
  <c r="E19" i="59"/>
  <c r="AM18" i="59"/>
  <c r="AK18" i="59"/>
  <c r="E18" i="3" s="1"/>
  <c r="Z18" i="59"/>
  <c r="AI18" i="59"/>
  <c r="W18" i="59"/>
  <c r="T18" i="59"/>
  <c r="Q18" i="59"/>
  <c r="U18" i="59" s="1"/>
  <c r="N18" i="59"/>
  <c r="H18" i="59"/>
  <c r="K18" i="59" s="1"/>
  <c r="O18" i="59" s="1"/>
  <c r="E18" i="59"/>
  <c r="AC18" i="59" s="1"/>
  <c r="AM17" i="59"/>
  <c r="AK17" i="59"/>
  <c r="E17" i="3" s="1"/>
  <c r="AI17" i="59"/>
  <c r="Z17" i="59"/>
  <c r="W17" i="59"/>
  <c r="AA17" i="59" s="1"/>
  <c r="T17" i="59"/>
  <c r="Q17" i="59"/>
  <c r="U17" i="59" s="1"/>
  <c r="N17" i="59"/>
  <c r="H17" i="59"/>
  <c r="K17" i="59" s="1"/>
  <c r="O17" i="59" s="1"/>
  <c r="E17" i="59"/>
  <c r="AM16" i="59"/>
  <c r="AK16" i="59"/>
  <c r="E16" i="3" s="1"/>
  <c r="AI16" i="59"/>
  <c r="AG16" i="59"/>
  <c r="AC16" i="59"/>
  <c r="AA16" i="59"/>
  <c r="Z16" i="59"/>
  <c r="T16" i="59"/>
  <c r="O16" i="59"/>
  <c r="N16" i="59"/>
  <c r="I16" i="59"/>
  <c r="H16" i="59"/>
  <c r="AM15" i="59"/>
  <c r="AK15" i="59"/>
  <c r="E15" i="3" s="1"/>
  <c r="AI15" i="59"/>
  <c r="Z15" i="59"/>
  <c r="W15" i="59"/>
  <c r="T15" i="59"/>
  <c r="Q15" i="59"/>
  <c r="U15" i="59" s="1"/>
  <c r="N15" i="59"/>
  <c r="H15" i="59"/>
  <c r="K15" i="59" s="1"/>
  <c r="O15" i="59" s="1"/>
  <c r="E15" i="59"/>
  <c r="AG15" i="59" s="1"/>
  <c r="AM14" i="59"/>
  <c r="AK14" i="59"/>
  <c r="E14" i="3" s="1"/>
  <c r="AI14" i="59"/>
  <c r="Z14" i="59"/>
  <c r="W14" i="59"/>
  <c r="T14" i="59"/>
  <c r="Q14" i="59"/>
  <c r="U14" i="59" s="1"/>
  <c r="N14" i="59"/>
  <c r="H14" i="59"/>
  <c r="K14" i="59" s="1"/>
  <c r="O14" i="59" s="1"/>
  <c r="E14" i="59"/>
  <c r="AM13" i="59"/>
  <c r="AK13" i="59"/>
  <c r="E13" i="3" s="1"/>
  <c r="AI13" i="59"/>
  <c r="Z13" i="59"/>
  <c r="W13" i="59"/>
  <c r="T13" i="59"/>
  <c r="Q13" i="59"/>
  <c r="U13" i="59" s="1"/>
  <c r="N13" i="59"/>
  <c r="H13" i="59"/>
  <c r="K13" i="59" s="1"/>
  <c r="O13" i="59" s="1"/>
  <c r="E13" i="59"/>
  <c r="AM12" i="59"/>
  <c r="AK12" i="59"/>
  <c r="E12" i="3" s="1"/>
  <c r="AI12" i="59"/>
  <c r="Z12" i="59"/>
  <c r="W12" i="59"/>
  <c r="T12" i="59"/>
  <c r="Q12" i="59"/>
  <c r="U12" i="59" s="1"/>
  <c r="N12" i="59"/>
  <c r="H12" i="59"/>
  <c r="K12" i="59" s="1"/>
  <c r="O12" i="59" s="1"/>
  <c r="E12" i="59"/>
  <c r="AM11" i="59"/>
  <c r="AK11" i="59"/>
  <c r="E11" i="3" s="1"/>
  <c r="Z11" i="59"/>
  <c r="AI11" i="59"/>
  <c r="T11" i="59"/>
  <c r="Q11" i="59"/>
  <c r="U11" i="59" s="1"/>
  <c r="N11" i="59"/>
  <c r="H11" i="59"/>
  <c r="K11" i="59" s="1"/>
  <c r="O11" i="59" s="1"/>
  <c r="E11" i="59"/>
  <c r="AM10" i="59"/>
  <c r="AK10" i="59"/>
  <c r="E10" i="3" s="1"/>
  <c r="AI10" i="59"/>
  <c r="Z10" i="59"/>
  <c r="W10" i="59"/>
  <c r="T10" i="59"/>
  <c r="Q10" i="59"/>
  <c r="U10" i="59" s="1"/>
  <c r="N10" i="59"/>
  <c r="H10" i="59"/>
  <c r="K10" i="59" s="1"/>
  <c r="O10" i="59" s="1"/>
  <c r="E10" i="59"/>
  <c r="AM9" i="59"/>
  <c r="AK9" i="59"/>
  <c r="E9" i="3" s="1"/>
  <c r="Z9" i="59"/>
  <c r="Y23" i="59"/>
  <c r="W9" i="59"/>
  <c r="T9" i="59"/>
  <c r="Q9" i="59"/>
  <c r="U9" i="59" s="1"/>
  <c r="N9" i="59"/>
  <c r="H9" i="59"/>
  <c r="K9" i="59" s="1"/>
  <c r="O9" i="59" s="1"/>
  <c r="E9" i="59"/>
  <c r="AM8" i="59"/>
  <c r="AK8" i="59"/>
  <c r="AI8" i="59"/>
  <c r="Z8" i="59"/>
  <c r="W8" i="59"/>
  <c r="T8" i="59"/>
  <c r="Q8" i="59"/>
  <c r="Q23" i="59" s="1"/>
  <c r="N8" i="59"/>
  <c r="H8" i="59"/>
  <c r="E8" i="59"/>
  <c r="AG13" i="59" l="1"/>
  <c r="W23" i="59"/>
  <c r="H23" i="59"/>
  <c r="E23" i="59"/>
  <c r="AG10" i="59"/>
  <c r="N23" i="59"/>
  <c r="AC9" i="59"/>
  <c r="AM23" i="59"/>
  <c r="W24" i="59"/>
  <c r="T23" i="59"/>
  <c r="AK23" i="59"/>
  <c r="E8" i="3"/>
  <c r="V24" i="59"/>
  <c r="Z23" i="59"/>
  <c r="AC12" i="59"/>
  <c r="AC14" i="59"/>
  <c r="AC19" i="59"/>
  <c r="AC10" i="59"/>
  <c r="AG11" i="59"/>
  <c r="AG12" i="59"/>
  <c r="AC13" i="59"/>
  <c r="AG14" i="59"/>
  <c r="AC15" i="59"/>
  <c r="AG17" i="59"/>
  <c r="AG19" i="59"/>
  <c r="K8" i="59"/>
  <c r="AC8" i="59" s="1"/>
  <c r="AA8" i="59"/>
  <c r="AG9" i="59"/>
  <c r="I10" i="59"/>
  <c r="I11" i="59"/>
  <c r="I12" i="59"/>
  <c r="I13" i="59"/>
  <c r="I14" i="59"/>
  <c r="I15" i="59"/>
  <c r="AC17" i="59"/>
  <c r="AG18" i="59"/>
  <c r="I19" i="59"/>
  <c r="I8" i="59"/>
  <c r="U8" i="59"/>
  <c r="U23" i="59" s="1"/>
  <c r="I9" i="59"/>
  <c r="AA9" i="59"/>
  <c r="AI9" i="59"/>
  <c r="AA10" i="59"/>
  <c r="AA11" i="59"/>
  <c r="AC11" i="59"/>
  <c r="AA12" i="59"/>
  <c r="AA13" i="59"/>
  <c r="AA14" i="59"/>
  <c r="AA15" i="59"/>
  <c r="I17" i="59"/>
  <c r="I18" i="59"/>
  <c r="AA18" i="59"/>
  <c r="AA19" i="59"/>
  <c r="T22" i="33"/>
  <c r="U22" i="33"/>
  <c r="AO23" i="59" l="1"/>
  <c r="AC23" i="59"/>
  <c r="AC38" i="59" s="1"/>
  <c r="K23" i="59"/>
  <c r="O8" i="59"/>
  <c r="O23" i="59" s="1"/>
  <c r="AG8" i="59"/>
  <c r="I23" i="59"/>
  <c r="AA23" i="59"/>
  <c r="Q11" i="56"/>
  <c r="Q10" i="56"/>
  <c r="Q9" i="56"/>
  <c r="Q8" i="56"/>
  <c r="AC9" i="2" l="1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AA8" i="2"/>
  <c r="Z8" i="2"/>
  <c r="Y8" i="2"/>
  <c r="X8" i="2"/>
  <c r="V8" i="2"/>
  <c r="U8" i="2"/>
  <c r="T8" i="2"/>
  <c r="S8" i="2"/>
  <c r="R8" i="2"/>
  <c r="Q12" i="42" l="1"/>
  <c r="AC8" i="2" l="1"/>
  <c r="S23" i="41"/>
  <c r="R23" i="41"/>
  <c r="O37" i="38"/>
  <c r="I37" i="38"/>
  <c r="AC37" i="38" s="1"/>
  <c r="X23" i="38"/>
  <c r="V23" i="38"/>
  <c r="R23" i="38"/>
  <c r="P23" i="38"/>
  <c r="M23" i="38"/>
  <c r="L23" i="38"/>
  <c r="J23" i="38"/>
  <c r="F23" i="38"/>
  <c r="D23" i="38"/>
  <c r="AM22" i="38"/>
  <c r="AK22" i="38"/>
  <c r="AI22" i="38"/>
  <c r="AG22" i="38"/>
  <c r="AB22" i="38"/>
  <c r="AA22" i="38"/>
  <c r="Z22" i="38"/>
  <c r="U22" i="38"/>
  <c r="T22" i="38"/>
  <c r="O22" i="38"/>
  <c r="N22" i="38"/>
  <c r="I22" i="38"/>
  <c r="H22" i="38"/>
  <c r="AC22" i="38"/>
  <c r="AM21" i="38"/>
  <c r="AK21" i="38"/>
  <c r="AG21" i="38"/>
  <c r="AB21" i="38"/>
  <c r="Z21" i="38"/>
  <c r="AA21" i="38"/>
  <c r="T21" i="38"/>
  <c r="U21" i="38"/>
  <c r="O21" i="38"/>
  <c r="N21" i="38"/>
  <c r="H21" i="38"/>
  <c r="AC21" i="38"/>
  <c r="AM20" i="38"/>
  <c r="AK20" i="38"/>
  <c r="AI20" i="38"/>
  <c r="AG20" i="38"/>
  <c r="AC20" i="38"/>
  <c r="AB20" i="38"/>
  <c r="AA20" i="38"/>
  <c r="Z20" i="38"/>
  <c r="U20" i="38"/>
  <c r="T20" i="38"/>
  <c r="O20" i="38"/>
  <c r="N20" i="38"/>
  <c r="I20" i="38"/>
  <c r="H20" i="38"/>
  <c r="AM19" i="38"/>
  <c r="AK19" i="38"/>
  <c r="AB19" i="38"/>
  <c r="Z19" i="38"/>
  <c r="W19" i="38"/>
  <c r="AA19" i="38" s="1"/>
  <c r="T19" i="38"/>
  <c r="AI19" i="38"/>
  <c r="Q19" i="38"/>
  <c r="N19" i="38"/>
  <c r="K19" i="38"/>
  <c r="H19" i="38"/>
  <c r="E19" i="38"/>
  <c r="AM18" i="38"/>
  <c r="AK18" i="38"/>
  <c r="AI18" i="38"/>
  <c r="AB18" i="38"/>
  <c r="Z18" i="38"/>
  <c r="W18" i="38"/>
  <c r="T18" i="38"/>
  <c r="Q18" i="38"/>
  <c r="U18" i="38" s="1"/>
  <c r="N18" i="38"/>
  <c r="K18" i="38"/>
  <c r="O18" i="38" s="1"/>
  <c r="H18" i="38"/>
  <c r="E18" i="38"/>
  <c r="I18" i="38" s="1"/>
  <c r="AM17" i="38"/>
  <c r="AK17" i="38"/>
  <c r="AI17" i="38"/>
  <c r="AB17" i="38"/>
  <c r="Z17" i="38"/>
  <c r="W17" i="38"/>
  <c r="T17" i="38"/>
  <c r="Q17" i="38"/>
  <c r="U17" i="38" s="1"/>
  <c r="N17" i="38"/>
  <c r="K17" i="38"/>
  <c r="O17" i="38" s="1"/>
  <c r="H17" i="38"/>
  <c r="E17" i="38"/>
  <c r="AM16" i="38"/>
  <c r="AK16" i="38"/>
  <c r="AI16" i="38"/>
  <c r="AG16" i="38"/>
  <c r="AC16" i="38"/>
  <c r="AB16" i="38"/>
  <c r="AA16" i="38"/>
  <c r="Z16" i="38"/>
  <c r="T16" i="38"/>
  <c r="O16" i="38"/>
  <c r="N16" i="38"/>
  <c r="I16" i="38"/>
  <c r="H16" i="38"/>
  <c r="AM15" i="38"/>
  <c r="AK15" i="38"/>
  <c r="AB15" i="38"/>
  <c r="Z15" i="38"/>
  <c r="AI15" i="38"/>
  <c r="W15" i="38"/>
  <c r="T15" i="38"/>
  <c r="Q15" i="38"/>
  <c r="U15" i="38" s="1"/>
  <c r="N15" i="38"/>
  <c r="K15" i="38"/>
  <c r="O15" i="38" s="1"/>
  <c r="H15" i="38"/>
  <c r="E15" i="38"/>
  <c r="AC15" i="38" s="1"/>
  <c r="AM14" i="38"/>
  <c r="AK14" i="38"/>
  <c r="AI14" i="38"/>
  <c r="AB14" i="38"/>
  <c r="Z14" i="38"/>
  <c r="W14" i="38"/>
  <c r="AA14" i="38" s="1"/>
  <c r="T14" i="38"/>
  <c r="Q14" i="38"/>
  <c r="U14" i="38" s="1"/>
  <c r="N14" i="38"/>
  <c r="K14" i="38"/>
  <c r="O14" i="38" s="1"/>
  <c r="H14" i="38"/>
  <c r="E14" i="38"/>
  <c r="AC14" i="38" s="1"/>
  <c r="AM13" i="38"/>
  <c r="AK13" i="38"/>
  <c r="AI13" i="38"/>
  <c r="AB13" i="38"/>
  <c r="Z13" i="38"/>
  <c r="W13" i="38"/>
  <c r="AA13" i="38" s="1"/>
  <c r="T13" i="38"/>
  <c r="Q13" i="38"/>
  <c r="U13" i="38" s="1"/>
  <c r="N13" i="38"/>
  <c r="K13" i="38"/>
  <c r="O13" i="38" s="1"/>
  <c r="H13" i="38"/>
  <c r="E13" i="38"/>
  <c r="AC13" i="38" s="1"/>
  <c r="AM12" i="38"/>
  <c r="AK12" i="38"/>
  <c r="AB12" i="38"/>
  <c r="Z12" i="38"/>
  <c r="AI12" i="38"/>
  <c r="W12" i="38"/>
  <c r="T12" i="38"/>
  <c r="U12" i="38"/>
  <c r="Q12" i="38"/>
  <c r="N12" i="38"/>
  <c r="K12" i="38"/>
  <c r="O12" i="38" s="1"/>
  <c r="H12" i="38"/>
  <c r="E12" i="38"/>
  <c r="AM11" i="38"/>
  <c r="AK11" i="38"/>
  <c r="AB11" i="38"/>
  <c r="Z11" i="38"/>
  <c r="W11" i="38"/>
  <c r="AG11" i="38" s="1"/>
  <c r="T11" i="38"/>
  <c r="U11" i="38"/>
  <c r="Q11" i="38"/>
  <c r="N11" i="38"/>
  <c r="K11" i="38"/>
  <c r="O11" i="38" s="1"/>
  <c r="I11" i="38"/>
  <c r="H11" i="38"/>
  <c r="AI11" i="38"/>
  <c r="E11" i="38"/>
  <c r="AM10" i="38"/>
  <c r="AK10" i="38"/>
  <c r="AI10" i="38"/>
  <c r="AB10" i="38"/>
  <c r="Z10" i="38"/>
  <c r="W10" i="38"/>
  <c r="T10" i="38"/>
  <c r="Q10" i="38"/>
  <c r="U10" i="38" s="1"/>
  <c r="N10" i="38"/>
  <c r="K10" i="38"/>
  <c r="O10" i="38" s="1"/>
  <c r="H10" i="38"/>
  <c r="E10" i="38"/>
  <c r="I10" i="38" s="1"/>
  <c r="AM9" i="38"/>
  <c r="AK9" i="38"/>
  <c r="AB9" i="38"/>
  <c r="Z9" i="38"/>
  <c r="AI9" i="38"/>
  <c r="W9" i="38"/>
  <c r="AA9" i="38" s="1"/>
  <c r="T9" i="38"/>
  <c r="Q9" i="38"/>
  <c r="U9" i="38" s="1"/>
  <c r="N9" i="38"/>
  <c r="K9" i="38"/>
  <c r="O9" i="38" s="1"/>
  <c r="H9" i="38"/>
  <c r="E9" i="38"/>
  <c r="AG9" i="38" s="1"/>
  <c r="AM8" i="38"/>
  <c r="AK8" i="38"/>
  <c r="AI8" i="38"/>
  <c r="AE23" i="38"/>
  <c r="AB8" i="38"/>
  <c r="Z8" i="38"/>
  <c r="W8" i="38"/>
  <c r="W23" i="38" s="1"/>
  <c r="T8" i="38"/>
  <c r="S23" i="38"/>
  <c r="Q8" i="38"/>
  <c r="N8" i="38"/>
  <c r="K8" i="38"/>
  <c r="O8" i="38" s="1"/>
  <c r="I8" i="38"/>
  <c r="H8" i="38"/>
  <c r="G23" i="38"/>
  <c r="E8" i="38"/>
  <c r="U37" i="39"/>
  <c r="O37" i="39"/>
  <c r="AA37" i="39"/>
  <c r="I37" i="39"/>
  <c r="X23" i="39"/>
  <c r="V23" i="39"/>
  <c r="R23" i="39"/>
  <c r="P23" i="39"/>
  <c r="M23" i="39"/>
  <c r="L23" i="39"/>
  <c r="J23" i="39"/>
  <c r="F23" i="39"/>
  <c r="D23" i="39"/>
  <c r="AM22" i="39"/>
  <c r="AK22" i="39"/>
  <c r="AG22" i="39"/>
  <c r="AB22" i="39"/>
  <c r="Z22" i="39"/>
  <c r="AA22" i="39"/>
  <c r="U22" i="39"/>
  <c r="T22" i="39"/>
  <c r="O22" i="39"/>
  <c r="N22" i="39"/>
  <c r="H22" i="39"/>
  <c r="AI22" i="39"/>
  <c r="AM21" i="39"/>
  <c r="AK21" i="39"/>
  <c r="AG21" i="39"/>
  <c r="AB21" i="39"/>
  <c r="Z21" i="39"/>
  <c r="AA21" i="39"/>
  <c r="T21" i="39"/>
  <c r="U21" i="39"/>
  <c r="O21" i="39"/>
  <c r="N21" i="39"/>
  <c r="H21" i="39"/>
  <c r="AI21" i="39"/>
  <c r="AM20" i="39"/>
  <c r="AK20" i="39"/>
  <c r="AI20" i="39"/>
  <c r="AG20" i="39"/>
  <c r="AC20" i="39"/>
  <c r="AB20" i="39"/>
  <c r="AA20" i="39"/>
  <c r="Z20" i="39"/>
  <c r="U20" i="39"/>
  <c r="T20" i="39"/>
  <c r="O20" i="39"/>
  <c r="N20" i="39"/>
  <c r="I20" i="39"/>
  <c r="H20" i="39"/>
  <c r="AM19" i="39"/>
  <c r="AK19" i="39"/>
  <c r="AI19" i="39"/>
  <c r="AB19" i="39"/>
  <c r="Z19" i="39"/>
  <c r="W19" i="39"/>
  <c r="AA19" i="39" s="1"/>
  <c r="T19" i="39"/>
  <c r="Q19" i="39"/>
  <c r="U19" i="39" s="1"/>
  <c r="N19" i="39"/>
  <c r="K19" i="39"/>
  <c r="O19" i="39" s="1"/>
  <c r="H19" i="39"/>
  <c r="E19" i="39"/>
  <c r="AM18" i="39"/>
  <c r="AK18" i="39"/>
  <c r="AI18" i="39"/>
  <c r="AB18" i="39"/>
  <c r="Z18" i="39"/>
  <c r="W18" i="39"/>
  <c r="AA18" i="39" s="1"/>
  <c r="T18" i="39"/>
  <c r="Q18" i="39"/>
  <c r="U18" i="39" s="1"/>
  <c r="N18" i="39"/>
  <c r="K18" i="39"/>
  <c r="O18" i="39" s="1"/>
  <c r="H18" i="39"/>
  <c r="E18" i="39"/>
  <c r="AM17" i="39"/>
  <c r="AK17" i="39"/>
  <c r="AI17" i="39"/>
  <c r="AB17" i="39"/>
  <c r="Z17" i="39"/>
  <c r="W17" i="39"/>
  <c r="AA17" i="39" s="1"/>
  <c r="T17" i="39"/>
  <c r="Q17" i="39"/>
  <c r="U17" i="39" s="1"/>
  <c r="N17" i="39"/>
  <c r="K17" i="39"/>
  <c r="O17" i="39" s="1"/>
  <c r="H17" i="39"/>
  <c r="E17" i="39"/>
  <c r="AC17" i="39" s="1"/>
  <c r="AM16" i="39"/>
  <c r="AK16" i="39"/>
  <c r="AI16" i="39"/>
  <c r="AG16" i="39"/>
  <c r="AC16" i="39"/>
  <c r="AB16" i="39"/>
  <c r="AA16" i="39"/>
  <c r="Z16" i="39"/>
  <c r="T16" i="39"/>
  <c r="O16" i="39"/>
  <c r="N16" i="39"/>
  <c r="I16" i="39"/>
  <c r="H16" i="39"/>
  <c r="AM15" i="39"/>
  <c r="AK15" i="39"/>
  <c r="AI15" i="39"/>
  <c r="AB15" i="39"/>
  <c r="Z15" i="39"/>
  <c r="W15" i="39"/>
  <c r="AA15" i="39" s="1"/>
  <c r="T15" i="39"/>
  <c r="Q15" i="39"/>
  <c r="U15" i="39" s="1"/>
  <c r="N15" i="39"/>
  <c r="K15" i="39"/>
  <c r="O15" i="39" s="1"/>
  <c r="H15" i="39"/>
  <c r="E15" i="39"/>
  <c r="AM14" i="39"/>
  <c r="AK14" i="39"/>
  <c r="AI14" i="39"/>
  <c r="AB14" i="39"/>
  <c r="Z14" i="39"/>
  <c r="W14" i="39"/>
  <c r="AA14" i="39" s="1"/>
  <c r="T14" i="39"/>
  <c r="Q14" i="39"/>
  <c r="U14" i="39" s="1"/>
  <c r="N14" i="39"/>
  <c r="K14" i="39"/>
  <c r="O14" i="39" s="1"/>
  <c r="H14" i="39"/>
  <c r="E14" i="39"/>
  <c r="I14" i="39" s="1"/>
  <c r="AM13" i="39"/>
  <c r="AK13" i="39"/>
  <c r="AI13" i="39"/>
  <c r="AB13" i="39"/>
  <c r="Z13" i="39"/>
  <c r="W13" i="39"/>
  <c r="AA13" i="39" s="1"/>
  <c r="T13" i="39"/>
  <c r="Q13" i="39"/>
  <c r="U13" i="39" s="1"/>
  <c r="N13" i="39"/>
  <c r="K13" i="39"/>
  <c r="O13" i="39" s="1"/>
  <c r="H13" i="39"/>
  <c r="E13" i="39"/>
  <c r="AM12" i="39"/>
  <c r="AK12" i="39"/>
  <c r="AI12" i="39"/>
  <c r="AB12" i="39"/>
  <c r="Z12" i="39"/>
  <c r="W12" i="39"/>
  <c r="AA12" i="39" s="1"/>
  <c r="T12" i="39"/>
  <c r="Q12" i="39"/>
  <c r="U12" i="39" s="1"/>
  <c r="N12" i="39"/>
  <c r="K12" i="39"/>
  <c r="O12" i="39" s="1"/>
  <c r="H12" i="39"/>
  <c r="E12" i="39"/>
  <c r="I12" i="39" s="1"/>
  <c r="AM11" i="39"/>
  <c r="AK11" i="39"/>
  <c r="AB11" i="39"/>
  <c r="Z11" i="39"/>
  <c r="W11" i="39"/>
  <c r="AA11" i="39" s="1"/>
  <c r="T11" i="39"/>
  <c r="Q11" i="39"/>
  <c r="U11" i="39" s="1"/>
  <c r="N11" i="39"/>
  <c r="K11" i="39"/>
  <c r="O11" i="39" s="1"/>
  <c r="H11" i="39"/>
  <c r="AC11" i="39"/>
  <c r="E11" i="39"/>
  <c r="AM10" i="39"/>
  <c r="AK10" i="39"/>
  <c r="AB10" i="39"/>
  <c r="Z10" i="39"/>
  <c r="AI10" i="39"/>
  <c r="W10" i="39"/>
  <c r="T10" i="39"/>
  <c r="Q10" i="39"/>
  <c r="U10" i="39" s="1"/>
  <c r="N10" i="39"/>
  <c r="K10" i="39"/>
  <c r="O10" i="39" s="1"/>
  <c r="H10" i="39"/>
  <c r="E10" i="39"/>
  <c r="AM9" i="39"/>
  <c r="AK9" i="39"/>
  <c r="AB9" i="39"/>
  <c r="Z9" i="39"/>
  <c r="W9" i="39"/>
  <c r="AA9" i="39" s="1"/>
  <c r="T9" i="39"/>
  <c r="Q9" i="39"/>
  <c r="U9" i="39" s="1"/>
  <c r="N9" i="39"/>
  <c r="K9" i="39"/>
  <c r="O9" i="39" s="1"/>
  <c r="H9" i="39"/>
  <c r="E9" i="39"/>
  <c r="AM8" i="39"/>
  <c r="AK8" i="39"/>
  <c r="AE23" i="39"/>
  <c r="AB8" i="39"/>
  <c r="Z8" i="39"/>
  <c r="Y23" i="39"/>
  <c r="W8" i="39"/>
  <c r="T8" i="39"/>
  <c r="Q8" i="39"/>
  <c r="N8" i="39"/>
  <c r="K8" i="39"/>
  <c r="O8" i="39" s="1"/>
  <c r="H8" i="39"/>
  <c r="AI8" i="39"/>
  <c r="E8" i="39"/>
  <c r="AC9" i="39" l="1"/>
  <c r="AG18" i="39"/>
  <c r="AG10" i="39"/>
  <c r="E23" i="39"/>
  <c r="AG17" i="38"/>
  <c r="Q23" i="38"/>
  <c r="AC12" i="38"/>
  <c r="AC8" i="38"/>
  <c r="N23" i="38"/>
  <c r="H23" i="39"/>
  <c r="AC19" i="39"/>
  <c r="T23" i="38"/>
  <c r="Q23" i="39"/>
  <c r="T23" i="39"/>
  <c r="W23" i="39"/>
  <c r="N23" i="39"/>
  <c r="Z23" i="39"/>
  <c r="I10" i="39"/>
  <c r="AC10" i="39"/>
  <c r="AG11" i="39"/>
  <c r="AG13" i="39"/>
  <c r="AG15" i="39"/>
  <c r="I22" i="39"/>
  <c r="I9" i="38"/>
  <c r="E23" i="38"/>
  <c r="I12" i="38"/>
  <c r="I13" i="38"/>
  <c r="I15" i="38"/>
  <c r="AC17" i="38"/>
  <c r="AA17" i="38"/>
  <c r="I8" i="39"/>
  <c r="I9" i="39"/>
  <c r="AG9" i="39"/>
  <c r="AA10" i="39"/>
  <c r="AM23" i="39"/>
  <c r="AK23" i="39"/>
  <c r="AO23" i="39" s="1"/>
  <c r="I17" i="39"/>
  <c r="I19" i="39"/>
  <c r="R24" i="39"/>
  <c r="AA8" i="38"/>
  <c r="AC9" i="38"/>
  <c r="AG10" i="38"/>
  <c r="AC11" i="38"/>
  <c r="AA11" i="38"/>
  <c r="AG18" i="38"/>
  <c r="AC19" i="38"/>
  <c r="AM23" i="38"/>
  <c r="AG19" i="38"/>
  <c r="H23" i="38"/>
  <c r="R24" i="38"/>
  <c r="Z23" i="38"/>
  <c r="AK23" i="38"/>
  <c r="AC10" i="38"/>
  <c r="AG13" i="38"/>
  <c r="AA10" i="38"/>
  <c r="AG12" i="38"/>
  <c r="I14" i="38"/>
  <c r="AG14" i="38"/>
  <c r="AG15" i="38"/>
  <c r="AA18" i="38"/>
  <c r="O19" i="38"/>
  <c r="O23" i="38" s="1"/>
  <c r="U19" i="38"/>
  <c r="I21" i="38"/>
  <c r="K23" i="38"/>
  <c r="U8" i="38"/>
  <c r="AG8" i="38"/>
  <c r="AA12" i="38"/>
  <c r="AA15" i="38"/>
  <c r="I17" i="38"/>
  <c r="I19" i="38"/>
  <c r="AI21" i="38"/>
  <c r="AC18" i="38"/>
  <c r="Y23" i="38"/>
  <c r="S24" i="38" s="1"/>
  <c r="O23" i="39"/>
  <c r="AC37" i="39"/>
  <c r="AI11" i="39"/>
  <c r="AC12" i="39"/>
  <c r="AC14" i="39"/>
  <c r="AG17" i="39"/>
  <c r="AG19" i="39"/>
  <c r="AC21" i="39"/>
  <c r="AC8" i="39"/>
  <c r="AI9" i="39"/>
  <c r="AG12" i="39"/>
  <c r="AG14" i="39"/>
  <c r="AC18" i="39"/>
  <c r="AC22" i="39"/>
  <c r="G23" i="39"/>
  <c r="K23" i="39"/>
  <c r="S23" i="39"/>
  <c r="I11" i="39"/>
  <c r="AC13" i="39"/>
  <c r="AC15" i="39"/>
  <c r="I18" i="39"/>
  <c r="I21" i="39"/>
  <c r="U8" i="39"/>
  <c r="U23" i="39" s="1"/>
  <c r="AA8" i="39"/>
  <c r="AG8" i="39"/>
  <c r="I13" i="39"/>
  <c r="I15" i="39"/>
  <c r="AO23" i="38" l="1"/>
  <c r="AA23" i="39"/>
  <c r="I23" i="39"/>
  <c r="AA23" i="38"/>
  <c r="I23" i="38"/>
  <c r="AC23" i="38"/>
  <c r="U23" i="38"/>
  <c r="AC23" i="39"/>
  <c r="S24" i="39"/>
  <c r="AC24" i="39" l="1"/>
  <c r="AC38" i="39" s="1"/>
  <c r="AC24" i="38"/>
  <c r="AC38" i="38" s="1"/>
  <c r="U16" i="45" l="1"/>
  <c r="Q19" i="40" l="1"/>
  <c r="Q19" i="36" l="1"/>
  <c r="K9" i="34"/>
  <c r="K10" i="34"/>
  <c r="K11" i="34"/>
  <c r="K12" i="34"/>
  <c r="K13" i="34"/>
  <c r="K14" i="34"/>
  <c r="K15" i="34"/>
  <c r="K17" i="34"/>
  <c r="K18" i="34"/>
  <c r="K19" i="34"/>
  <c r="K8" i="34"/>
  <c r="Q19" i="33" l="1"/>
  <c r="AB9" i="58" l="1"/>
  <c r="AB10" i="58"/>
  <c r="AB11" i="58"/>
  <c r="AB12" i="58"/>
  <c r="AB13" i="58"/>
  <c r="AB14" i="58"/>
  <c r="AB15" i="58"/>
  <c r="AB16" i="58"/>
  <c r="AB17" i="58"/>
  <c r="AB18" i="58"/>
  <c r="AB19" i="58"/>
  <c r="AB20" i="58"/>
  <c r="AB21" i="58"/>
  <c r="AB22" i="58"/>
  <c r="AB23" i="58"/>
  <c r="AB24" i="58"/>
  <c r="AB25" i="58"/>
  <c r="AB8" i="58"/>
  <c r="AB9" i="55"/>
  <c r="AB10" i="55"/>
  <c r="AB11" i="55"/>
  <c r="AB12" i="55"/>
  <c r="AB13" i="55"/>
  <c r="AB14" i="55"/>
  <c r="AB15" i="55"/>
  <c r="AB16" i="55"/>
  <c r="AB17" i="55"/>
  <c r="AB18" i="55"/>
  <c r="AB19" i="55"/>
  <c r="AB20" i="55"/>
  <c r="AB21" i="55"/>
  <c r="AB22" i="55"/>
  <c r="AB8" i="55"/>
  <c r="AB9" i="54"/>
  <c r="AB10" i="54"/>
  <c r="AB11" i="54"/>
  <c r="AB12" i="54"/>
  <c r="AB13" i="54"/>
  <c r="AB14" i="54"/>
  <c r="AB15" i="54"/>
  <c r="AB16" i="54"/>
  <c r="AB17" i="54"/>
  <c r="AB18" i="54"/>
  <c r="AB19" i="54"/>
  <c r="AB20" i="54"/>
  <c r="AB21" i="54"/>
  <c r="AB22" i="54"/>
  <c r="AB8" i="54"/>
  <c r="AB9" i="53"/>
  <c r="AB10" i="53"/>
  <c r="AB11" i="53"/>
  <c r="AB12" i="53"/>
  <c r="AB13" i="53"/>
  <c r="AB14" i="53"/>
  <c r="AB15" i="53"/>
  <c r="AB16" i="53"/>
  <c r="AB17" i="53"/>
  <c r="AB18" i="53"/>
  <c r="AB19" i="53"/>
  <c r="AB20" i="53"/>
  <c r="AB21" i="53"/>
  <c r="AB22" i="53"/>
  <c r="AB8" i="53"/>
  <c r="AB9" i="52"/>
  <c r="AB10" i="52"/>
  <c r="AB11" i="52"/>
  <c r="AB12" i="52"/>
  <c r="AB13" i="52"/>
  <c r="AB14" i="52"/>
  <c r="AB15" i="52"/>
  <c r="AB16" i="52"/>
  <c r="AB17" i="52"/>
  <c r="AB18" i="52"/>
  <c r="AB19" i="52"/>
  <c r="AB20" i="52"/>
  <c r="AB21" i="52"/>
  <c r="AB22" i="52"/>
  <c r="AB8" i="52"/>
  <c r="AB9" i="51"/>
  <c r="AB10" i="51"/>
  <c r="AB11" i="51"/>
  <c r="AB12" i="51"/>
  <c r="AB13" i="51"/>
  <c r="AB14" i="51"/>
  <c r="AB15" i="51"/>
  <c r="AB16" i="51"/>
  <c r="AB17" i="51"/>
  <c r="AB18" i="51"/>
  <c r="AB19" i="51"/>
  <c r="AB20" i="51"/>
  <c r="AB21" i="51"/>
  <c r="AB22" i="51"/>
  <c r="AB8" i="51"/>
  <c r="AB9" i="50"/>
  <c r="AB10" i="50"/>
  <c r="AB11" i="50"/>
  <c r="AB12" i="50"/>
  <c r="AB13" i="50"/>
  <c r="AB14" i="50"/>
  <c r="AB15" i="50"/>
  <c r="AB16" i="50"/>
  <c r="AB17" i="50"/>
  <c r="AB18" i="50"/>
  <c r="AB19" i="50"/>
  <c r="AB20" i="50"/>
  <c r="AB21" i="50"/>
  <c r="AB22" i="50"/>
  <c r="AB8" i="50"/>
  <c r="AB9" i="49"/>
  <c r="AB10" i="49"/>
  <c r="AB11" i="49"/>
  <c r="AB12" i="49"/>
  <c r="AB13" i="49"/>
  <c r="AB14" i="49"/>
  <c r="AB15" i="49"/>
  <c r="AB16" i="49"/>
  <c r="AB17" i="49"/>
  <c r="AB18" i="49"/>
  <c r="AB19" i="49"/>
  <c r="AB20" i="49"/>
  <c r="AB21" i="49"/>
  <c r="AB22" i="49"/>
  <c r="AB8" i="49"/>
  <c r="AC21" i="48" l="1"/>
  <c r="AB9" i="48" l="1"/>
  <c r="AB10" i="48"/>
  <c r="AB11" i="48"/>
  <c r="AB12" i="48"/>
  <c r="AB13" i="48"/>
  <c r="AB14" i="48"/>
  <c r="AB15" i="48"/>
  <c r="AB16" i="48"/>
  <c r="AB17" i="48"/>
  <c r="AB18" i="48"/>
  <c r="AB19" i="48"/>
  <c r="AB20" i="48"/>
  <c r="AB21" i="48"/>
  <c r="AB22" i="48"/>
  <c r="AB8" i="48"/>
  <c r="AB9" i="47" l="1"/>
  <c r="AB10" i="47"/>
  <c r="AB11" i="47"/>
  <c r="AB12" i="47"/>
  <c r="AB13" i="47"/>
  <c r="AB14" i="47"/>
  <c r="AB15" i="47"/>
  <c r="AB16" i="47"/>
  <c r="AB17" i="47"/>
  <c r="AB18" i="47"/>
  <c r="AB19" i="47"/>
  <c r="AB20" i="47"/>
  <c r="AB21" i="47"/>
  <c r="AB22" i="47"/>
  <c r="AB8" i="47"/>
  <c r="O37" i="45" l="1"/>
  <c r="AB9" i="45"/>
  <c r="AB10" i="45"/>
  <c r="AB11" i="45"/>
  <c r="AB12" i="45"/>
  <c r="AB13" i="45"/>
  <c r="AB14" i="45"/>
  <c r="AB15" i="45"/>
  <c r="AB16" i="45"/>
  <c r="AB17" i="45"/>
  <c r="AB18" i="45"/>
  <c r="AB19" i="45"/>
  <c r="AB20" i="45"/>
  <c r="AB21" i="45"/>
  <c r="AB22" i="45"/>
  <c r="AB8" i="45"/>
  <c r="AB9" i="44" l="1"/>
  <c r="AB10" i="44"/>
  <c r="AB11" i="44"/>
  <c r="AB12" i="44"/>
  <c r="AB13" i="44"/>
  <c r="AB14" i="44"/>
  <c r="AB15" i="44"/>
  <c r="AB16" i="44"/>
  <c r="AB17" i="44"/>
  <c r="AB18" i="44"/>
  <c r="AB19" i="44"/>
  <c r="AB20" i="44"/>
  <c r="AB21" i="44"/>
  <c r="AB22" i="44"/>
  <c r="AB8" i="44"/>
  <c r="AA40" i="58"/>
  <c r="U40" i="58"/>
  <c r="O40" i="58"/>
  <c r="I40" i="58"/>
  <c r="AE26" i="58"/>
  <c r="Y26" i="58"/>
  <c r="X26" i="58"/>
  <c r="V26" i="58"/>
  <c r="S26" i="58"/>
  <c r="R26" i="58"/>
  <c r="P26" i="58"/>
  <c r="M26" i="58"/>
  <c r="L26" i="58"/>
  <c r="J26" i="58"/>
  <c r="G26" i="58"/>
  <c r="F26" i="58"/>
  <c r="D26" i="58"/>
  <c r="AM25" i="58"/>
  <c r="AC41" i="3" s="1"/>
  <c r="AK25" i="58"/>
  <c r="AC22" i="3" s="1"/>
  <c r="AI25" i="58"/>
  <c r="AG25" i="58"/>
  <c r="AC25" i="58"/>
  <c r="AA25" i="58"/>
  <c r="Z25" i="58"/>
  <c r="U25" i="58"/>
  <c r="T25" i="58"/>
  <c r="O25" i="58"/>
  <c r="N25" i="58"/>
  <c r="I25" i="58"/>
  <c r="H25" i="58"/>
  <c r="AM24" i="58"/>
  <c r="AC40" i="3" s="1"/>
  <c r="AK24" i="58"/>
  <c r="AC21" i="3" s="1"/>
  <c r="AI24" i="58"/>
  <c r="AG24" i="58"/>
  <c r="AC24" i="58"/>
  <c r="AA24" i="58"/>
  <c r="Z24" i="58"/>
  <c r="U24" i="58"/>
  <c r="T24" i="58"/>
  <c r="O24" i="58"/>
  <c r="N24" i="58"/>
  <c r="I24" i="58"/>
  <c r="H24" i="58"/>
  <c r="AM23" i="58"/>
  <c r="AK23" i="58"/>
  <c r="AI23" i="58"/>
  <c r="AG23" i="58"/>
  <c r="AC23" i="58"/>
  <c r="AA23" i="58"/>
  <c r="Z23" i="58"/>
  <c r="U23" i="58"/>
  <c r="T23" i="58"/>
  <c r="O23" i="58"/>
  <c r="N23" i="58"/>
  <c r="I23" i="58"/>
  <c r="H23" i="58"/>
  <c r="AM22" i="58"/>
  <c r="AC39" i="3" s="1"/>
  <c r="AK22" i="58"/>
  <c r="AC20" i="3" s="1"/>
  <c r="AI22" i="58"/>
  <c r="AG22" i="58"/>
  <c r="AC22" i="58"/>
  <c r="AA22" i="58"/>
  <c r="Z22" i="58"/>
  <c r="U22" i="58"/>
  <c r="T22" i="58"/>
  <c r="O22" i="58"/>
  <c r="N22" i="58"/>
  <c r="I22" i="58"/>
  <c r="H22" i="58"/>
  <c r="AM21" i="58"/>
  <c r="AC38" i="3" s="1"/>
  <c r="AK21" i="58"/>
  <c r="AC19" i="3" s="1"/>
  <c r="AI21" i="58"/>
  <c r="Z21" i="58"/>
  <c r="W21" i="58"/>
  <c r="AA21" i="58" s="1"/>
  <c r="T21" i="58"/>
  <c r="Q21" i="58"/>
  <c r="U21" i="58" s="1"/>
  <c r="N21" i="58"/>
  <c r="K21" i="58"/>
  <c r="O21" i="58" s="1"/>
  <c r="H21" i="58"/>
  <c r="E21" i="58"/>
  <c r="AG21" i="58" s="1"/>
  <c r="AM20" i="58"/>
  <c r="AC37" i="3" s="1"/>
  <c r="AK20" i="58"/>
  <c r="AC18" i="3" s="1"/>
  <c r="AI20" i="58"/>
  <c r="Z20" i="58"/>
  <c r="W20" i="58"/>
  <c r="AA20" i="58" s="1"/>
  <c r="T20" i="58"/>
  <c r="Q20" i="58"/>
  <c r="N20" i="58"/>
  <c r="K20" i="58"/>
  <c r="O20" i="58" s="1"/>
  <c r="H20" i="58"/>
  <c r="E20" i="58"/>
  <c r="I20" i="58" s="1"/>
  <c r="AM19" i="58"/>
  <c r="AC36" i="3" s="1"/>
  <c r="AK19" i="58"/>
  <c r="AC17" i="3" s="1"/>
  <c r="AI19" i="58"/>
  <c r="Z19" i="58"/>
  <c r="W19" i="58"/>
  <c r="AA19" i="58" s="1"/>
  <c r="T19" i="58"/>
  <c r="Q19" i="58"/>
  <c r="U19" i="58" s="1"/>
  <c r="N19" i="58"/>
  <c r="K19" i="58"/>
  <c r="O19" i="58" s="1"/>
  <c r="H19" i="58"/>
  <c r="E19" i="58"/>
  <c r="AC19" i="58" s="1"/>
  <c r="AM18" i="58"/>
  <c r="AC35" i="3" s="1"/>
  <c r="AK18" i="58"/>
  <c r="AC16" i="3" s="1"/>
  <c r="AI18" i="58"/>
  <c r="AG18" i="58"/>
  <c r="AC18" i="58"/>
  <c r="AA18" i="58"/>
  <c r="Z18" i="58"/>
  <c r="T18" i="58"/>
  <c r="O18" i="58"/>
  <c r="N18" i="58"/>
  <c r="I18" i="58"/>
  <c r="H18" i="58"/>
  <c r="AM17" i="58"/>
  <c r="AK17" i="58"/>
  <c r="AI17" i="58"/>
  <c r="Z17" i="58"/>
  <c r="W17" i="58"/>
  <c r="AA17" i="58" s="1"/>
  <c r="T17" i="58"/>
  <c r="Q17" i="58"/>
  <c r="U17" i="58" s="1"/>
  <c r="N17" i="58"/>
  <c r="K17" i="58"/>
  <c r="O17" i="58" s="1"/>
  <c r="H17" i="58"/>
  <c r="E17" i="58"/>
  <c r="AM16" i="58"/>
  <c r="AC34" i="3" s="1"/>
  <c r="AK16" i="58"/>
  <c r="AC15" i="3" s="1"/>
  <c r="AI16" i="58"/>
  <c r="Z16" i="58"/>
  <c r="W16" i="58"/>
  <c r="AA16" i="58" s="1"/>
  <c r="T16" i="58"/>
  <c r="Q16" i="58"/>
  <c r="U16" i="58" s="1"/>
  <c r="N16" i="58"/>
  <c r="K16" i="58"/>
  <c r="O16" i="58" s="1"/>
  <c r="H16" i="58"/>
  <c r="E16" i="58"/>
  <c r="I16" i="58" s="1"/>
  <c r="AM15" i="58"/>
  <c r="AC33" i="3" s="1"/>
  <c r="AK15" i="58"/>
  <c r="AC14" i="3" s="1"/>
  <c r="AI15" i="58"/>
  <c r="Z15" i="58"/>
  <c r="W15" i="58"/>
  <c r="AA15" i="58" s="1"/>
  <c r="T15" i="58"/>
  <c r="Q15" i="58"/>
  <c r="U15" i="58" s="1"/>
  <c r="N15" i="58"/>
  <c r="K15" i="58"/>
  <c r="O15" i="58" s="1"/>
  <c r="H15" i="58"/>
  <c r="E15" i="58"/>
  <c r="AM14" i="58"/>
  <c r="AC32" i="3" s="1"/>
  <c r="AK14" i="58"/>
  <c r="AC13" i="3" s="1"/>
  <c r="AI14" i="58"/>
  <c r="Z14" i="58"/>
  <c r="W14" i="58"/>
  <c r="T14" i="58"/>
  <c r="Q14" i="58"/>
  <c r="U14" i="58" s="1"/>
  <c r="N14" i="58"/>
  <c r="K14" i="58"/>
  <c r="O14" i="58" s="1"/>
  <c r="H14" i="58"/>
  <c r="E14" i="58"/>
  <c r="I14" i="58" s="1"/>
  <c r="AM13" i="58"/>
  <c r="AC31" i="3" s="1"/>
  <c r="AK13" i="58"/>
  <c r="AC12" i="3" s="1"/>
  <c r="AI13" i="58"/>
  <c r="Z13" i="58"/>
  <c r="W13" i="58"/>
  <c r="AA13" i="58" s="1"/>
  <c r="T13" i="58"/>
  <c r="Q13" i="58"/>
  <c r="U13" i="58" s="1"/>
  <c r="N13" i="58"/>
  <c r="K13" i="58"/>
  <c r="O13" i="58" s="1"/>
  <c r="H13" i="58"/>
  <c r="E13" i="58"/>
  <c r="AM12" i="58"/>
  <c r="AC30" i="3" s="1"/>
  <c r="AK12" i="58"/>
  <c r="AC11" i="3" s="1"/>
  <c r="AI12" i="58"/>
  <c r="Z12" i="58"/>
  <c r="W12" i="58"/>
  <c r="T12" i="58"/>
  <c r="Q12" i="58"/>
  <c r="U12" i="58" s="1"/>
  <c r="N12" i="58"/>
  <c r="K12" i="58"/>
  <c r="O12" i="58" s="1"/>
  <c r="H12" i="58"/>
  <c r="E12" i="58"/>
  <c r="I12" i="58" s="1"/>
  <c r="AM11" i="58"/>
  <c r="AC29" i="3" s="1"/>
  <c r="AK11" i="58"/>
  <c r="AC10" i="3" s="1"/>
  <c r="AI11" i="58"/>
  <c r="Z11" i="58"/>
  <c r="W11" i="58"/>
  <c r="AA11" i="58" s="1"/>
  <c r="T11" i="58"/>
  <c r="Q11" i="58"/>
  <c r="U11" i="58" s="1"/>
  <c r="N11" i="58"/>
  <c r="K11" i="58"/>
  <c r="O11" i="58" s="1"/>
  <c r="H11" i="58"/>
  <c r="E11" i="58"/>
  <c r="AM10" i="58"/>
  <c r="AK10" i="58"/>
  <c r="AI10" i="58"/>
  <c r="Z10" i="58"/>
  <c r="W10" i="58"/>
  <c r="T10" i="58"/>
  <c r="Q10" i="58"/>
  <c r="U10" i="58" s="1"/>
  <c r="N10" i="58"/>
  <c r="K10" i="58"/>
  <c r="O10" i="58" s="1"/>
  <c r="H10" i="58"/>
  <c r="E10" i="58"/>
  <c r="I10" i="58" s="1"/>
  <c r="AM9" i="58"/>
  <c r="AC28" i="3" s="1"/>
  <c r="AK9" i="58"/>
  <c r="AC9" i="3" s="1"/>
  <c r="AI9" i="58"/>
  <c r="Z9" i="58"/>
  <c r="W9" i="58"/>
  <c r="AA9" i="58" s="1"/>
  <c r="T9" i="58"/>
  <c r="Q9" i="58"/>
  <c r="U9" i="58" s="1"/>
  <c r="N9" i="58"/>
  <c r="K9" i="58"/>
  <c r="O9" i="58" s="1"/>
  <c r="H9" i="58"/>
  <c r="E9" i="58"/>
  <c r="AM8" i="58"/>
  <c r="AK8" i="58"/>
  <c r="AC8" i="3" s="1"/>
  <c r="AI8" i="58"/>
  <c r="Z8" i="58"/>
  <c r="W8" i="58"/>
  <c r="T8" i="58"/>
  <c r="Q8" i="58"/>
  <c r="Q26" i="58" s="1"/>
  <c r="N8" i="58"/>
  <c r="K8" i="58"/>
  <c r="O8" i="58" s="1"/>
  <c r="O26" i="58" s="1"/>
  <c r="H8" i="58"/>
  <c r="E8" i="58"/>
  <c r="E26" i="58" s="1"/>
  <c r="AA37" i="55"/>
  <c r="U37" i="55"/>
  <c r="O37" i="55"/>
  <c r="I37" i="55"/>
  <c r="AE23" i="55"/>
  <c r="Y23" i="55"/>
  <c r="X23" i="55"/>
  <c r="V23" i="55"/>
  <c r="S23" i="55"/>
  <c r="R23" i="55"/>
  <c r="P23" i="55"/>
  <c r="M23" i="55"/>
  <c r="L23" i="55"/>
  <c r="J23" i="55"/>
  <c r="G23" i="55"/>
  <c r="F23" i="55"/>
  <c r="D23" i="55"/>
  <c r="AM22" i="55"/>
  <c r="AB41" i="3" s="1"/>
  <c r="AK22" i="55"/>
  <c r="AB22" i="3" s="1"/>
  <c r="AI22" i="55"/>
  <c r="AG22" i="55"/>
  <c r="AC22" i="55"/>
  <c r="AA22" i="55"/>
  <c r="Z22" i="55"/>
  <c r="U22" i="55"/>
  <c r="T22" i="55"/>
  <c r="O22" i="55"/>
  <c r="N22" i="55"/>
  <c r="I22" i="55"/>
  <c r="H22" i="55"/>
  <c r="AM21" i="55"/>
  <c r="AB40" i="3" s="1"/>
  <c r="AK21" i="55"/>
  <c r="AB21" i="3" s="1"/>
  <c r="AI21" i="55"/>
  <c r="AG21" i="55"/>
  <c r="AC21" i="55"/>
  <c r="AA21" i="55"/>
  <c r="Z21" i="55"/>
  <c r="U21" i="55"/>
  <c r="T21" i="55"/>
  <c r="O21" i="55"/>
  <c r="N21" i="55"/>
  <c r="I21" i="55"/>
  <c r="H21" i="55"/>
  <c r="AM20" i="55"/>
  <c r="AB39" i="3" s="1"/>
  <c r="AK20" i="55"/>
  <c r="AB20" i="3" s="1"/>
  <c r="AI20" i="55"/>
  <c r="AG20" i="55"/>
  <c r="AC20" i="55"/>
  <c r="AA20" i="55"/>
  <c r="Z20" i="55"/>
  <c r="U20" i="55"/>
  <c r="T20" i="55"/>
  <c r="O20" i="55"/>
  <c r="N20" i="55"/>
  <c r="I20" i="55"/>
  <c r="H20" i="55"/>
  <c r="AM19" i="55"/>
  <c r="AB38" i="3" s="1"/>
  <c r="AK19" i="55"/>
  <c r="AB19" i="3" s="1"/>
  <c r="AI19" i="55"/>
  <c r="Z19" i="55"/>
  <c r="W19" i="55"/>
  <c r="AA19" i="55" s="1"/>
  <c r="T19" i="55"/>
  <c r="Q19" i="55"/>
  <c r="U19" i="55" s="1"/>
  <c r="N19" i="55"/>
  <c r="K19" i="55"/>
  <c r="O19" i="55" s="1"/>
  <c r="H19" i="55"/>
  <c r="E19" i="55"/>
  <c r="AM18" i="55"/>
  <c r="AB37" i="3" s="1"/>
  <c r="AK18" i="55"/>
  <c r="AB18" i="3" s="1"/>
  <c r="AI18" i="55"/>
  <c r="Z18" i="55"/>
  <c r="W18" i="55"/>
  <c r="AA18" i="55" s="1"/>
  <c r="T18" i="55"/>
  <c r="Q18" i="55"/>
  <c r="N18" i="55"/>
  <c r="K18" i="55"/>
  <c r="O18" i="55" s="1"/>
  <c r="H18" i="55"/>
  <c r="E18" i="55"/>
  <c r="I18" i="55" s="1"/>
  <c r="AM17" i="55"/>
  <c r="AB36" i="3" s="1"/>
  <c r="AK17" i="55"/>
  <c r="AB17" i="3" s="1"/>
  <c r="AI17" i="55"/>
  <c r="Z17" i="55"/>
  <c r="W17" i="55"/>
  <c r="AA17" i="55" s="1"/>
  <c r="T17" i="55"/>
  <c r="Q17" i="55"/>
  <c r="U17" i="55" s="1"/>
  <c r="N17" i="55"/>
  <c r="K17" i="55"/>
  <c r="O17" i="55" s="1"/>
  <c r="H17" i="55"/>
  <c r="E17" i="55"/>
  <c r="AM16" i="55"/>
  <c r="AB35" i="3" s="1"/>
  <c r="AK16" i="55"/>
  <c r="AB16" i="3" s="1"/>
  <c r="AI16" i="55"/>
  <c r="AG16" i="55"/>
  <c r="AC16" i="55"/>
  <c r="AA16" i="55"/>
  <c r="Z16" i="55"/>
  <c r="T16" i="55"/>
  <c r="O16" i="55"/>
  <c r="N16" i="55"/>
  <c r="I16" i="55"/>
  <c r="H16" i="55"/>
  <c r="AM15" i="55"/>
  <c r="AB34" i="3" s="1"/>
  <c r="AK15" i="55"/>
  <c r="AB15" i="3" s="1"/>
  <c r="AI15" i="55"/>
  <c r="Z15" i="55"/>
  <c r="W15" i="55"/>
  <c r="T15" i="55"/>
  <c r="Q15" i="55"/>
  <c r="U15" i="55" s="1"/>
  <c r="N15" i="55"/>
  <c r="K15" i="55"/>
  <c r="O15" i="55" s="1"/>
  <c r="H15" i="55"/>
  <c r="E15" i="55"/>
  <c r="I15" i="55" s="1"/>
  <c r="AM14" i="55"/>
  <c r="AB33" i="3" s="1"/>
  <c r="AK14" i="55"/>
  <c r="AB14" i="3" s="1"/>
  <c r="AI14" i="55"/>
  <c r="Z14" i="55"/>
  <c r="W14" i="55"/>
  <c r="AA14" i="55" s="1"/>
  <c r="T14" i="55"/>
  <c r="Q14" i="55"/>
  <c r="U14" i="55" s="1"/>
  <c r="N14" i="55"/>
  <c r="K14" i="55"/>
  <c r="O14" i="55" s="1"/>
  <c r="H14" i="55"/>
  <c r="E14" i="55"/>
  <c r="AM13" i="55"/>
  <c r="AB32" i="3" s="1"/>
  <c r="AK13" i="55"/>
  <c r="AB13" i="3" s="1"/>
  <c r="AI13" i="55"/>
  <c r="Z13" i="55"/>
  <c r="W13" i="55"/>
  <c r="T13" i="55"/>
  <c r="Q13" i="55"/>
  <c r="U13" i="55" s="1"/>
  <c r="N13" i="55"/>
  <c r="K13" i="55"/>
  <c r="O13" i="55" s="1"/>
  <c r="H13" i="55"/>
  <c r="E13" i="55"/>
  <c r="I13" i="55" s="1"/>
  <c r="AM12" i="55"/>
  <c r="AB31" i="3" s="1"/>
  <c r="AK12" i="55"/>
  <c r="AB12" i="3" s="1"/>
  <c r="AI12" i="55"/>
  <c r="Z12" i="55"/>
  <c r="W12" i="55"/>
  <c r="AA12" i="55" s="1"/>
  <c r="T12" i="55"/>
  <c r="Q12" i="55"/>
  <c r="U12" i="55" s="1"/>
  <c r="N12" i="55"/>
  <c r="K12" i="55"/>
  <c r="O12" i="55" s="1"/>
  <c r="H12" i="55"/>
  <c r="E12" i="55"/>
  <c r="AM11" i="55"/>
  <c r="AB30" i="3" s="1"/>
  <c r="AK11" i="55"/>
  <c r="AB11" i="3" s="1"/>
  <c r="AI11" i="55"/>
  <c r="Z11" i="55"/>
  <c r="W11" i="55"/>
  <c r="T11" i="55"/>
  <c r="Q11" i="55"/>
  <c r="U11" i="55" s="1"/>
  <c r="N11" i="55"/>
  <c r="K11" i="55"/>
  <c r="O11" i="55" s="1"/>
  <c r="H11" i="55"/>
  <c r="E11" i="55"/>
  <c r="I11" i="55" s="1"/>
  <c r="AM10" i="55"/>
  <c r="AB29" i="3" s="1"/>
  <c r="AK10" i="55"/>
  <c r="AB10" i="3" s="1"/>
  <c r="AI10" i="55"/>
  <c r="Z10" i="55"/>
  <c r="W10" i="55"/>
  <c r="AA10" i="55" s="1"/>
  <c r="T10" i="55"/>
  <c r="Q10" i="55"/>
  <c r="U10" i="55" s="1"/>
  <c r="N10" i="55"/>
  <c r="K10" i="55"/>
  <c r="O10" i="55" s="1"/>
  <c r="H10" i="55"/>
  <c r="E10" i="55"/>
  <c r="AM9" i="55"/>
  <c r="AB28" i="3" s="1"/>
  <c r="AK9" i="55"/>
  <c r="AB9" i="3" s="1"/>
  <c r="AI9" i="55"/>
  <c r="Z9" i="55"/>
  <c r="W9" i="55"/>
  <c r="AA9" i="55" s="1"/>
  <c r="T9" i="55"/>
  <c r="Q9" i="55"/>
  <c r="U9" i="55" s="1"/>
  <c r="N9" i="55"/>
  <c r="K9" i="55"/>
  <c r="H9" i="55"/>
  <c r="E9" i="55"/>
  <c r="AM8" i="55"/>
  <c r="AK8" i="55"/>
  <c r="AB8" i="3" s="1"/>
  <c r="AI8" i="55"/>
  <c r="Z8" i="55"/>
  <c r="W8" i="55"/>
  <c r="T8" i="55"/>
  <c r="Q8" i="55"/>
  <c r="N8" i="55"/>
  <c r="K8" i="55"/>
  <c r="O8" i="55" s="1"/>
  <c r="H8" i="55"/>
  <c r="E8" i="55"/>
  <c r="AA37" i="54"/>
  <c r="U37" i="54"/>
  <c r="O37" i="54"/>
  <c r="I37" i="54"/>
  <c r="AE23" i="54"/>
  <c r="Y23" i="54"/>
  <c r="X23" i="54"/>
  <c r="V23" i="54"/>
  <c r="S23" i="54"/>
  <c r="R23" i="54"/>
  <c r="P23" i="54"/>
  <c r="M23" i="54"/>
  <c r="L23" i="54"/>
  <c r="J23" i="54"/>
  <c r="G23" i="54"/>
  <c r="F23" i="54"/>
  <c r="D23" i="54"/>
  <c r="AM22" i="54"/>
  <c r="AA41" i="3" s="1"/>
  <c r="AK22" i="54"/>
  <c r="AA22" i="3" s="1"/>
  <c r="AI22" i="54"/>
  <c r="AG22" i="54"/>
  <c r="AC22" i="54"/>
  <c r="AA22" i="54"/>
  <c r="Z22" i="54"/>
  <c r="U22" i="54"/>
  <c r="T22" i="54"/>
  <c r="O22" i="54"/>
  <c r="N22" i="54"/>
  <c r="I22" i="54"/>
  <c r="H22" i="54"/>
  <c r="AM21" i="54"/>
  <c r="AA40" i="3" s="1"/>
  <c r="AK21" i="54"/>
  <c r="AA21" i="3" s="1"/>
  <c r="AI21" i="54"/>
  <c r="AG21" i="54"/>
  <c r="AC21" i="54"/>
  <c r="AA21" i="54"/>
  <c r="Z21" i="54"/>
  <c r="U21" i="54"/>
  <c r="T21" i="54"/>
  <c r="O21" i="54"/>
  <c r="N21" i="54"/>
  <c r="I21" i="54"/>
  <c r="H21" i="54"/>
  <c r="AM20" i="54"/>
  <c r="AA39" i="3" s="1"/>
  <c r="AK20" i="54"/>
  <c r="AA20" i="3" s="1"/>
  <c r="AI20" i="54"/>
  <c r="AG20" i="54"/>
  <c r="AC20" i="54"/>
  <c r="AA20" i="54"/>
  <c r="Z20" i="54"/>
  <c r="U20" i="54"/>
  <c r="T20" i="54"/>
  <c r="O20" i="54"/>
  <c r="N20" i="54"/>
  <c r="I20" i="54"/>
  <c r="H20" i="54"/>
  <c r="AM19" i="54"/>
  <c r="AA38" i="3" s="1"/>
  <c r="AK19" i="54"/>
  <c r="AA19" i="3" s="1"/>
  <c r="AI19" i="54"/>
  <c r="Z19" i="54"/>
  <c r="W19" i="54"/>
  <c r="AA19" i="54" s="1"/>
  <c r="T19" i="54"/>
  <c r="Q19" i="54"/>
  <c r="U19" i="54" s="1"/>
  <c r="N19" i="54"/>
  <c r="K19" i="54"/>
  <c r="O19" i="54" s="1"/>
  <c r="H19" i="54"/>
  <c r="E19" i="54"/>
  <c r="AM18" i="54"/>
  <c r="AA37" i="3" s="1"/>
  <c r="AK18" i="54"/>
  <c r="AA18" i="3" s="1"/>
  <c r="AI18" i="54"/>
  <c r="Z18" i="54"/>
  <c r="W18" i="54"/>
  <c r="AA18" i="54" s="1"/>
  <c r="T18" i="54"/>
  <c r="Q18" i="54"/>
  <c r="N18" i="54"/>
  <c r="K18" i="54"/>
  <c r="O18" i="54" s="1"/>
  <c r="H18" i="54"/>
  <c r="E18" i="54"/>
  <c r="I18" i="54" s="1"/>
  <c r="AM17" i="54"/>
  <c r="AA36" i="3" s="1"/>
  <c r="AK17" i="54"/>
  <c r="AA17" i="3" s="1"/>
  <c r="AI17" i="54"/>
  <c r="Z17" i="54"/>
  <c r="W17" i="54"/>
  <c r="AA17" i="54" s="1"/>
  <c r="T17" i="54"/>
  <c r="Q17" i="54"/>
  <c r="U17" i="54" s="1"/>
  <c r="N17" i="54"/>
  <c r="K17" i="54"/>
  <c r="O17" i="54" s="1"/>
  <c r="H17" i="54"/>
  <c r="E17" i="54"/>
  <c r="AM16" i="54"/>
  <c r="AA35" i="3" s="1"/>
  <c r="AK16" i="54"/>
  <c r="AA16" i="3" s="1"/>
  <c r="AI16" i="54"/>
  <c r="AG16" i="54"/>
  <c r="AC16" i="54"/>
  <c r="AA16" i="54"/>
  <c r="Z16" i="54"/>
  <c r="T16" i="54"/>
  <c r="O16" i="54"/>
  <c r="N16" i="54"/>
  <c r="I16" i="54"/>
  <c r="H16" i="54"/>
  <c r="AM15" i="54"/>
  <c r="AA34" i="3" s="1"/>
  <c r="AK15" i="54"/>
  <c r="AA15" i="3" s="1"/>
  <c r="AI15" i="54"/>
  <c r="Z15" i="54"/>
  <c r="W15" i="54"/>
  <c r="T15" i="54"/>
  <c r="Q15" i="54"/>
  <c r="U15" i="54" s="1"/>
  <c r="N15" i="54"/>
  <c r="K15" i="54"/>
  <c r="O15" i="54" s="1"/>
  <c r="H15" i="54"/>
  <c r="E15" i="54"/>
  <c r="I15" i="54" s="1"/>
  <c r="AM14" i="54"/>
  <c r="AA33" i="3" s="1"/>
  <c r="AK14" i="54"/>
  <c r="AA14" i="3" s="1"/>
  <c r="AI14" i="54"/>
  <c r="Z14" i="54"/>
  <c r="W14" i="54"/>
  <c r="AA14" i="54" s="1"/>
  <c r="T14" i="54"/>
  <c r="Q14" i="54"/>
  <c r="U14" i="54" s="1"/>
  <c r="N14" i="54"/>
  <c r="K14" i="54"/>
  <c r="O14" i="54" s="1"/>
  <c r="H14" i="54"/>
  <c r="E14" i="54"/>
  <c r="AG14" i="54" s="1"/>
  <c r="AM13" i="54"/>
  <c r="AA32" i="3" s="1"/>
  <c r="AK13" i="54"/>
  <c r="AA13" i="3" s="1"/>
  <c r="AI13" i="54"/>
  <c r="Z13" i="54"/>
  <c r="W13" i="54"/>
  <c r="AA13" i="54" s="1"/>
  <c r="T13" i="54"/>
  <c r="Q13" i="54"/>
  <c r="U13" i="54" s="1"/>
  <c r="N13" i="54"/>
  <c r="K13" i="54"/>
  <c r="O13" i="54" s="1"/>
  <c r="H13" i="54"/>
  <c r="E13" i="54"/>
  <c r="I13" i="54" s="1"/>
  <c r="AM12" i="54"/>
  <c r="AA31" i="3" s="1"/>
  <c r="AK12" i="54"/>
  <c r="AA12" i="3" s="1"/>
  <c r="AI12" i="54"/>
  <c r="Z12" i="54"/>
  <c r="W12" i="54"/>
  <c r="AA12" i="54" s="1"/>
  <c r="T12" i="54"/>
  <c r="Q12" i="54"/>
  <c r="U12" i="54" s="1"/>
  <c r="N12" i="54"/>
  <c r="K12" i="54"/>
  <c r="O12" i="54" s="1"/>
  <c r="H12" i="54"/>
  <c r="E12" i="54"/>
  <c r="AM11" i="54"/>
  <c r="AA30" i="3" s="1"/>
  <c r="AK11" i="54"/>
  <c r="AA11" i="3" s="1"/>
  <c r="AI11" i="54"/>
  <c r="Z11" i="54"/>
  <c r="W11" i="54"/>
  <c r="T11" i="54"/>
  <c r="Q11" i="54"/>
  <c r="U11" i="54" s="1"/>
  <c r="N11" i="54"/>
  <c r="K11" i="54"/>
  <c r="O11" i="54" s="1"/>
  <c r="H11" i="54"/>
  <c r="E11" i="54"/>
  <c r="I11" i="54" s="1"/>
  <c r="AM10" i="54"/>
  <c r="AA29" i="3" s="1"/>
  <c r="AK10" i="54"/>
  <c r="AA10" i="3" s="1"/>
  <c r="AI10" i="54"/>
  <c r="Z10" i="54"/>
  <c r="W10" i="54"/>
  <c r="AA10" i="54" s="1"/>
  <c r="T10" i="54"/>
  <c r="Q10" i="54"/>
  <c r="U10" i="54" s="1"/>
  <c r="N10" i="54"/>
  <c r="K10" i="54"/>
  <c r="O10" i="54" s="1"/>
  <c r="H10" i="54"/>
  <c r="E10" i="54"/>
  <c r="AM9" i="54"/>
  <c r="AA28" i="3" s="1"/>
  <c r="AK9" i="54"/>
  <c r="AA9" i="3" s="1"/>
  <c r="AI9" i="54"/>
  <c r="Z9" i="54"/>
  <c r="W9" i="54"/>
  <c r="AA9" i="54" s="1"/>
  <c r="T9" i="54"/>
  <c r="Q9" i="54"/>
  <c r="U9" i="54" s="1"/>
  <c r="N9" i="54"/>
  <c r="K9" i="54"/>
  <c r="O9" i="54" s="1"/>
  <c r="H9" i="54"/>
  <c r="E9" i="54"/>
  <c r="AM8" i="54"/>
  <c r="AA27" i="3" s="1"/>
  <c r="AK8" i="54"/>
  <c r="AA8" i="3" s="1"/>
  <c r="AI8" i="54"/>
  <c r="Z8" i="54"/>
  <c r="W8" i="54"/>
  <c r="T8" i="54"/>
  <c r="Q8" i="54"/>
  <c r="N8" i="54"/>
  <c r="K8" i="54"/>
  <c r="O8" i="54" s="1"/>
  <c r="H8" i="54"/>
  <c r="E8" i="54"/>
  <c r="AA37" i="53"/>
  <c r="U37" i="53"/>
  <c r="O37" i="53"/>
  <c r="I37" i="53"/>
  <c r="AE23" i="53"/>
  <c r="Y23" i="53"/>
  <c r="X23" i="53"/>
  <c r="V23" i="53"/>
  <c r="S23" i="53"/>
  <c r="R23" i="53"/>
  <c r="P23" i="53"/>
  <c r="M23" i="53"/>
  <c r="L23" i="53"/>
  <c r="J23" i="53"/>
  <c r="G23" i="53"/>
  <c r="F23" i="53"/>
  <c r="D23" i="53"/>
  <c r="AM22" i="53"/>
  <c r="Z41" i="3" s="1"/>
  <c r="AK22" i="53"/>
  <c r="Z22" i="3" s="1"/>
  <c r="AI22" i="53"/>
  <c r="AG22" i="53"/>
  <c r="AC22" i="53"/>
  <c r="AA22" i="53"/>
  <c r="Z22" i="53"/>
  <c r="U22" i="53"/>
  <c r="T22" i="53"/>
  <c r="O22" i="53"/>
  <c r="N22" i="53"/>
  <c r="I22" i="53"/>
  <c r="H22" i="53"/>
  <c r="AM21" i="53"/>
  <c r="Z40" i="3" s="1"/>
  <c r="AK21" i="53"/>
  <c r="Z21" i="3" s="1"/>
  <c r="AI21" i="53"/>
  <c r="AG21" i="53"/>
  <c r="AC21" i="53"/>
  <c r="AA21" i="53"/>
  <c r="Z21" i="53"/>
  <c r="U21" i="53"/>
  <c r="T21" i="53"/>
  <c r="O21" i="53"/>
  <c r="N21" i="53"/>
  <c r="I21" i="53"/>
  <c r="H21" i="53"/>
  <c r="AM20" i="53"/>
  <c r="Z39" i="3" s="1"/>
  <c r="AK20" i="53"/>
  <c r="Z20" i="3" s="1"/>
  <c r="AI20" i="53"/>
  <c r="AG20" i="53"/>
  <c r="AC20" i="53"/>
  <c r="AA20" i="53"/>
  <c r="Z20" i="53"/>
  <c r="U20" i="53"/>
  <c r="T20" i="53"/>
  <c r="O20" i="53"/>
  <c r="N20" i="53"/>
  <c r="I20" i="53"/>
  <c r="H20" i="53"/>
  <c r="AM19" i="53"/>
  <c r="Z38" i="3" s="1"/>
  <c r="AK19" i="53"/>
  <c r="Z19" i="3" s="1"/>
  <c r="AI19" i="53"/>
  <c r="Z19" i="53"/>
  <c r="W19" i="53"/>
  <c r="AA19" i="53" s="1"/>
  <c r="T19" i="53"/>
  <c r="Q19" i="53"/>
  <c r="U19" i="53" s="1"/>
  <c r="N19" i="53"/>
  <c r="K19" i="53"/>
  <c r="O19" i="53" s="1"/>
  <c r="H19" i="53"/>
  <c r="E19" i="53"/>
  <c r="AC19" i="53" s="1"/>
  <c r="AM18" i="53"/>
  <c r="Z37" i="3" s="1"/>
  <c r="AK18" i="53"/>
  <c r="Z18" i="3" s="1"/>
  <c r="AI18" i="53"/>
  <c r="Z18" i="53"/>
  <c r="W18" i="53"/>
  <c r="AA18" i="53" s="1"/>
  <c r="T18" i="53"/>
  <c r="Q18" i="53"/>
  <c r="N18" i="53"/>
  <c r="K18" i="53"/>
  <c r="O18" i="53" s="1"/>
  <c r="H18" i="53"/>
  <c r="E18" i="53"/>
  <c r="I18" i="53" s="1"/>
  <c r="AM17" i="53"/>
  <c r="Z36" i="3" s="1"/>
  <c r="AK17" i="53"/>
  <c r="Z17" i="3" s="1"/>
  <c r="AI17" i="53"/>
  <c r="Z17" i="53"/>
  <c r="W17" i="53"/>
  <c r="AA17" i="53" s="1"/>
  <c r="T17" i="53"/>
  <c r="Q17" i="53"/>
  <c r="U17" i="53" s="1"/>
  <c r="N17" i="53"/>
  <c r="K17" i="53"/>
  <c r="O17" i="53" s="1"/>
  <c r="H17" i="53"/>
  <c r="E17" i="53"/>
  <c r="AM16" i="53"/>
  <c r="Z35" i="3" s="1"/>
  <c r="AK16" i="53"/>
  <c r="Z16" i="3" s="1"/>
  <c r="AI16" i="53"/>
  <c r="AG16" i="53"/>
  <c r="AC16" i="53"/>
  <c r="AA16" i="53"/>
  <c r="Z16" i="53"/>
  <c r="T16" i="53"/>
  <c r="O16" i="53"/>
  <c r="N16" i="53"/>
  <c r="I16" i="53"/>
  <c r="H16" i="53"/>
  <c r="AM15" i="53"/>
  <c r="Z34" i="3" s="1"/>
  <c r="AK15" i="53"/>
  <c r="Z15" i="3" s="1"/>
  <c r="AI15" i="53"/>
  <c r="Z15" i="53"/>
  <c r="W15" i="53"/>
  <c r="AA15" i="53" s="1"/>
  <c r="T15" i="53"/>
  <c r="Q15" i="53"/>
  <c r="U15" i="53" s="1"/>
  <c r="N15" i="53"/>
  <c r="K15" i="53"/>
  <c r="O15" i="53" s="1"/>
  <c r="H15" i="53"/>
  <c r="E15" i="53"/>
  <c r="I15" i="53" s="1"/>
  <c r="AM14" i="53"/>
  <c r="Z33" i="3" s="1"/>
  <c r="AK14" i="53"/>
  <c r="Z14" i="3" s="1"/>
  <c r="AI14" i="53"/>
  <c r="Z14" i="53"/>
  <c r="W14" i="53"/>
  <c r="AA14" i="53" s="1"/>
  <c r="T14" i="53"/>
  <c r="Q14" i="53"/>
  <c r="U14" i="53" s="1"/>
  <c r="N14" i="53"/>
  <c r="K14" i="53"/>
  <c r="O14" i="53" s="1"/>
  <c r="H14" i="53"/>
  <c r="E14" i="53"/>
  <c r="AM13" i="53"/>
  <c r="Z32" i="3" s="1"/>
  <c r="AK13" i="53"/>
  <c r="Z13" i="3" s="1"/>
  <c r="AI13" i="53"/>
  <c r="Z13" i="53"/>
  <c r="W13" i="53"/>
  <c r="T13" i="53"/>
  <c r="Q13" i="53"/>
  <c r="U13" i="53" s="1"/>
  <c r="N13" i="53"/>
  <c r="K13" i="53"/>
  <c r="O13" i="53" s="1"/>
  <c r="H13" i="53"/>
  <c r="E13" i="53"/>
  <c r="AC13" i="53" s="1"/>
  <c r="AM12" i="53"/>
  <c r="Z31" i="3" s="1"/>
  <c r="AK12" i="53"/>
  <c r="Z12" i="3" s="1"/>
  <c r="AI12" i="53"/>
  <c r="Z12" i="53"/>
  <c r="W12" i="53"/>
  <c r="AA12" i="53" s="1"/>
  <c r="T12" i="53"/>
  <c r="Q12" i="53"/>
  <c r="U12" i="53" s="1"/>
  <c r="N12" i="53"/>
  <c r="K12" i="53"/>
  <c r="O12" i="53" s="1"/>
  <c r="H12" i="53"/>
  <c r="E12" i="53"/>
  <c r="AM11" i="53"/>
  <c r="Z30" i="3" s="1"/>
  <c r="AK11" i="53"/>
  <c r="Z11" i="3" s="1"/>
  <c r="AI11" i="53"/>
  <c r="Z11" i="53"/>
  <c r="W11" i="53"/>
  <c r="AA11" i="53" s="1"/>
  <c r="T11" i="53"/>
  <c r="Q11" i="53"/>
  <c r="U11" i="53" s="1"/>
  <c r="N11" i="53"/>
  <c r="K11" i="53"/>
  <c r="O11" i="53" s="1"/>
  <c r="H11" i="53"/>
  <c r="E11" i="53"/>
  <c r="I11" i="53" s="1"/>
  <c r="AM10" i="53"/>
  <c r="Z29" i="3" s="1"/>
  <c r="AK10" i="53"/>
  <c r="Z10" i="3" s="1"/>
  <c r="AI10" i="53"/>
  <c r="Z10" i="53"/>
  <c r="W10" i="53"/>
  <c r="AA10" i="53" s="1"/>
  <c r="T10" i="53"/>
  <c r="Q10" i="53"/>
  <c r="U10" i="53" s="1"/>
  <c r="N10" i="53"/>
  <c r="K10" i="53"/>
  <c r="O10" i="53" s="1"/>
  <c r="H10" i="53"/>
  <c r="E10" i="53"/>
  <c r="AM9" i="53"/>
  <c r="Z28" i="3" s="1"/>
  <c r="AK9" i="53"/>
  <c r="Z9" i="3" s="1"/>
  <c r="AI9" i="53"/>
  <c r="Z9" i="53"/>
  <c r="W9" i="53"/>
  <c r="AA9" i="53" s="1"/>
  <c r="T9" i="53"/>
  <c r="Q9" i="53"/>
  <c r="U9" i="53" s="1"/>
  <c r="N9" i="53"/>
  <c r="K9" i="53"/>
  <c r="O9" i="53" s="1"/>
  <c r="H9" i="53"/>
  <c r="E9" i="53"/>
  <c r="AG9" i="53" s="1"/>
  <c r="AM8" i="53"/>
  <c r="Z27" i="3" s="1"/>
  <c r="AK8" i="53"/>
  <c r="Z8" i="3" s="1"/>
  <c r="AI8" i="53"/>
  <c r="Z8" i="53"/>
  <c r="W8" i="53"/>
  <c r="T8" i="53"/>
  <c r="Q8" i="53"/>
  <c r="N8" i="53"/>
  <c r="K8" i="53"/>
  <c r="O8" i="53" s="1"/>
  <c r="H8" i="53"/>
  <c r="E8" i="53"/>
  <c r="AA37" i="52"/>
  <c r="U37" i="52"/>
  <c r="O37" i="52"/>
  <c r="I37" i="52"/>
  <c r="AE23" i="52"/>
  <c r="Y23" i="52"/>
  <c r="X23" i="52"/>
  <c r="V23" i="52"/>
  <c r="S23" i="52"/>
  <c r="R23" i="52"/>
  <c r="P23" i="52"/>
  <c r="M23" i="52"/>
  <c r="L23" i="52"/>
  <c r="J23" i="52"/>
  <c r="G23" i="52"/>
  <c r="F23" i="52"/>
  <c r="D23" i="52"/>
  <c r="AM22" i="52"/>
  <c r="Y41" i="3" s="1"/>
  <c r="AK22" i="52"/>
  <c r="Y22" i="3" s="1"/>
  <c r="AI22" i="52"/>
  <c r="AG22" i="52"/>
  <c r="AC22" i="52"/>
  <c r="AA22" i="52"/>
  <c r="Z22" i="52"/>
  <c r="U22" i="52"/>
  <c r="T22" i="52"/>
  <c r="O22" i="52"/>
  <c r="N22" i="52"/>
  <c r="I22" i="52"/>
  <c r="H22" i="52"/>
  <c r="AM21" i="52"/>
  <c r="Y40" i="3" s="1"/>
  <c r="AK21" i="52"/>
  <c r="Y21" i="3" s="1"/>
  <c r="AI21" i="52"/>
  <c r="AG21" i="52"/>
  <c r="AC21" i="52"/>
  <c r="AA21" i="52"/>
  <c r="Z21" i="52"/>
  <c r="U21" i="52"/>
  <c r="T21" i="52"/>
  <c r="O21" i="52"/>
  <c r="N21" i="52"/>
  <c r="I21" i="52"/>
  <c r="H21" i="52"/>
  <c r="AM20" i="52"/>
  <c r="Y39" i="3" s="1"/>
  <c r="AK20" i="52"/>
  <c r="Y20" i="3" s="1"/>
  <c r="AI20" i="52"/>
  <c r="AG20" i="52"/>
  <c r="AC20" i="52"/>
  <c r="AA20" i="52"/>
  <c r="Z20" i="52"/>
  <c r="U20" i="52"/>
  <c r="T20" i="52"/>
  <c r="O20" i="52"/>
  <c r="N20" i="52"/>
  <c r="I20" i="52"/>
  <c r="H20" i="52"/>
  <c r="AM19" i="52"/>
  <c r="Y38" i="3" s="1"/>
  <c r="AK19" i="52"/>
  <c r="Y19" i="3" s="1"/>
  <c r="AI19" i="52"/>
  <c r="Z19" i="52"/>
  <c r="W19" i="52"/>
  <c r="AA19" i="52" s="1"/>
  <c r="T19" i="52"/>
  <c r="Q19" i="52"/>
  <c r="U19" i="52" s="1"/>
  <c r="N19" i="52"/>
  <c r="K19" i="52"/>
  <c r="O19" i="52" s="1"/>
  <c r="H19" i="52"/>
  <c r="E19" i="52"/>
  <c r="AM18" i="52"/>
  <c r="Y37" i="3" s="1"/>
  <c r="AK18" i="52"/>
  <c r="Y18" i="3" s="1"/>
  <c r="AI18" i="52"/>
  <c r="Z18" i="52"/>
  <c r="W18" i="52"/>
  <c r="AA18" i="52" s="1"/>
  <c r="T18" i="52"/>
  <c r="Q18" i="52"/>
  <c r="N18" i="52"/>
  <c r="K18" i="52"/>
  <c r="O18" i="52" s="1"/>
  <c r="H18" i="52"/>
  <c r="E18" i="52"/>
  <c r="I18" i="52" s="1"/>
  <c r="AM17" i="52"/>
  <c r="Y36" i="3" s="1"/>
  <c r="AK17" i="52"/>
  <c r="Y17" i="3" s="1"/>
  <c r="AI17" i="52"/>
  <c r="Z17" i="52"/>
  <c r="W17" i="52"/>
  <c r="AA17" i="52" s="1"/>
  <c r="T17" i="52"/>
  <c r="Q17" i="52"/>
  <c r="U17" i="52" s="1"/>
  <c r="N17" i="52"/>
  <c r="K17" i="52"/>
  <c r="O17" i="52" s="1"/>
  <c r="H17" i="52"/>
  <c r="E17" i="52"/>
  <c r="AM16" i="52"/>
  <c r="Y35" i="3" s="1"/>
  <c r="AK16" i="52"/>
  <c r="Y16" i="3" s="1"/>
  <c r="AI16" i="52"/>
  <c r="AG16" i="52"/>
  <c r="AC16" i="52"/>
  <c r="AA16" i="52"/>
  <c r="Z16" i="52"/>
  <c r="T16" i="52"/>
  <c r="O16" i="52"/>
  <c r="N16" i="52"/>
  <c r="I16" i="52"/>
  <c r="H16" i="52"/>
  <c r="AM15" i="52"/>
  <c r="Y34" i="3" s="1"/>
  <c r="AK15" i="52"/>
  <c r="Y15" i="3" s="1"/>
  <c r="AI15" i="52"/>
  <c r="Z15" i="52"/>
  <c r="W15" i="52"/>
  <c r="T15" i="52"/>
  <c r="Q15" i="52"/>
  <c r="U15" i="52" s="1"/>
  <c r="N15" i="52"/>
  <c r="K15" i="52"/>
  <c r="O15" i="52" s="1"/>
  <c r="H15" i="52"/>
  <c r="E15" i="52"/>
  <c r="I15" i="52" s="1"/>
  <c r="AM14" i="52"/>
  <c r="Y33" i="3" s="1"/>
  <c r="AK14" i="52"/>
  <c r="Y14" i="3" s="1"/>
  <c r="AI14" i="52"/>
  <c r="Z14" i="52"/>
  <c r="W14" i="52"/>
  <c r="AA14" i="52" s="1"/>
  <c r="T14" i="52"/>
  <c r="Q14" i="52"/>
  <c r="U14" i="52" s="1"/>
  <c r="N14" i="52"/>
  <c r="K14" i="52"/>
  <c r="O14" i="52" s="1"/>
  <c r="H14" i="52"/>
  <c r="E14" i="52"/>
  <c r="AM13" i="52"/>
  <c r="Y32" i="3" s="1"/>
  <c r="AK13" i="52"/>
  <c r="Y13" i="3" s="1"/>
  <c r="AI13" i="52"/>
  <c r="Z13" i="52"/>
  <c r="W13" i="52"/>
  <c r="T13" i="52"/>
  <c r="Q13" i="52"/>
  <c r="U13" i="52" s="1"/>
  <c r="N13" i="52"/>
  <c r="K13" i="52"/>
  <c r="O13" i="52" s="1"/>
  <c r="H13" i="52"/>
  <c r="E13" i="52"/>
  <c r="I13" i="52" s="1"/>
  <c r="AM12" i="52"/>
  <c r="Y31" i="3" s="1"/>
  <c r="AK12" i="52"/>
  <c r="Y12" i="3" s="1"/>
  <c r="AI12" i="52"/>
  <c r="Z12" i="52"/>
  <c r="W12" i="52"/>
  <c r="AA12" i="52" s="1"/>
  <c r="T12" i="52"/>
  <c r="Q12" i="52"/>
  <c r="U12" i="52" s="1"/>
  <c r="N12" i="52"/>
  <c r="K12" i="52"/>
  <c r="O12" i="52" s="1"/>
  <c r="H12" i="52"/>
  <c r="E12" i="52"/>
  <c r="AC12" i="52" s="1"/>
  <c r="AM11" i="52"/>
  <c r="Y30" i="3" s="1"/>
  <c r="AK11" i="52"/>
  <c r="Y11" i="3" s="1"/>
  <c r="AI11" i="52"/>
  <c r="Z11" i="52"/>
  <c r="W11" i="52"/>
  <c r="T11" i="52"/>
  <c r="Q11" i="52"/>
  <c r="U11" i="52" s="1"/>
  <c r="N11" i="52"/>
  <c r="K11" i="52"/>
  <c r="O11" i="52" s="1"/>
  <c r="H11" i="52"/>
  <c r="E11" i="52"/>
  <c r="I11" i="52" s="1"/>
  <c r="AM10" i="52"/>
  <c r="Y29" i="3" s="1"/>
  <c r="AK10" i="52"/>
  <c r="Y10" i="3" s="1"/>
  <c r="AI10" i="52"/>
  <c r="Z10" i="52"/>
  <c r="W10" i="52"/>
  <c r="AA10" i="52" s="1"/>
  <c r="T10" i="52"/>
  <c r="Q10" i="52"/>
  <c r="U10" i="52" s="1"/>
  <c r="N10" i="52"/>
  <c r="K10" i="52"/>
  <c r="O10" i="52" s="1"/>
  <c r="H10" i="52"/>
  <c r="E10" i="52"/>
  <c r="AM9" i="52"/>
  <c r="Y28" i="3" s="1"/>
  <c r="AK9" i="52"/>
  <c r="Y9" i="3" s="1"/>
  <c r="AI9" i="52"/>
  <c r="Z9" i="52"/>
  <c r="W9" i="52"/>
  <c r="AA9" i="52" s="1"/>
  <c r="T9" i="52"/>
  <c r="Q9" i="52"/>
  <c r="U9" i="52" s="1"/>
  <c r="N9" i="52"/>
  <c r="K9" i="52"/>
  <c r="H9" i="52"/>
  <c r="E9" i="52"/>
  <c r="AM8" i="52"/>
  <c r="Y27" i="3" s="1"/>
  <c r="AK8" i="52"/>
  <c r="Y8" i="3" s="1"/>
  <c r="AI8" i="52"/>
  <c r="Z8" i="52"/>
  <c r="W8" i="52"/>
  <c r="T8" i="52"/>
  <c r="Q8" i="52"/>
  <c r="N8" i="52"/>
  <c r="K8" i="52"/>
  <c r="O8" i="52" s="1"/>
  <c r="H8" i="52"/>
  <c r="E8" i="52"/>
  <c r="AA37" i="51"/>
  <c r="U37" i="51"/>
  <c r="O37" i="51"/>
  <c r="I37" i="51"/>
  <c r="AE23" i="51"/>
  <c r="Y23" i="51"/>
  <c r="X23" i="51"/>
  <c r="V23" i="51"/>
  <c r="S23" i="51"/>
  <c r="R23" i="51"/>
  <c r="P23" i="51"/>
  <c r="M23" i="51"/>
  <c r="L23" i="51"/>
  <c r="J23" i="51"/>
  <c r="G23" i="51"/>
  <c r="F23" i="51"/>
  <c r="D23" i="51"/>
  <c r="AM22" i="51"/>
  <c r="X41" i="3" s="1"/>
  <c r="AK22" i="51"/>
  <c r="X22" i="3" s="1"/>
  <c r="AI22" i="51"/>
  <c r="AG22" i="51"/>
  <c r="AC22" i="51"/>
  <c r="AA22" i="51"/>
  <c r="Z22" i="51"/>
  <c r="U22" i="51"/>
  <c r="T22" i="51"/>
  <c r="O22" i="51"/>
  <c r="N22" i="51"/>
  <c r="I22" i="51"/>
  <c r="H22" i="51"/>
  <c r="AM21" i="51"/>
  <c r="X40" i="3" s="1"/>
  <c r="AK21" i="51"/>
  <c r="X21" i="3" s="1"/>
  <c r="AI21" i="51"/>
  <c r="AG21" i="51"/>
  <c r="AC21" i="51"/>
  <c r="AA21" i="51"/>
  <c r="Z21" i="51"/>
  <c r="U21" i="51"/>
  <c r="T21" i="51"/>
  <c r="O21" i="51"/>
  <c r="N21" i="51"/>
  <c r="I21" i="51"/>
  <c r="H21" i="51"/>
  <c r="AM20" i="51"/>
  <c r="X39" i="3" s="1"/>
  <c r="AK20" i="51"/>
  <c r="X20" i="3" s="1"/>
  <c r="AI20" i="51"/>
  <c r="AG20" i="51"/>
  <c r="AC20" i="51"/>
  <c r="AA20" i="51"/>
  <c r="Z20" i="51"/>
  <c r="U20" i="51"/>
  <c r="T20" i="51"/>
  <c r="O20" i="51"/>
  <c r="N20" i="51"/>
  <c r="I20" i="51"/>
  <c r="H20" i="51"/>
  <c r="AM19" i="51"/>
  <c r="X38" i="3" s="1"/>
  <c r="AK19" i="51"/>
  <c r="X19" i="3" s="1"/>
  <c r="AI19" i="51"/>
  <c r="Z19" i="51"/>
  <c r="W19" i="51"/>
  <c r="AA19" i="51" s="1"/>
  <c r="T19" i="51"/>
  <c r="Q19" i="51"/>
  <c r="U19" i="51" s="1"/>
  <c r="N19" i="51"/>
  <c r="K19" i="51"/>
  <c r="O19" i="51" s="1"/>
  <c r="H19" i="51"/>
  <c r="E19" i="51"/>
  <c r="AM18" i="51"/>
  <c r="X37" i="3" s="1"/>
  <c r="AK18" i="51"/>
  <c r="X18" i="3" s="1"/>
  <c r="AI18" i="51"/>
  <c r="Z18" i="51"/>
  <c r="W18" i="51"/>
  <c r="AA18" i="51" s="1"/>
  <c r="T18" i="51"/>
  <c r="Q18" i="51"/>
  <c r="N18" i="51"/>
  <c r="K18" i="51"/>
  <c r="O18" i="51" s="1"/>
  <c r="H18" i="51"/>
  <c r="E18" i="51"/>
  <c r="I18" i="51" s="1"/>
  <c r="AM17" i="51"/>
  <c r="X36" i="3" s="1"/>
  <c r="AK17" i="51"/>
  <c r="X17" i="3" s="1"/>
  <c r="AI17" i="51"/>
  <c r="Z17" i="51"/>
  <c r="W17" i="51"/>
  <c r="AA17" i="51" s="1"/>
  <c r="T17" i="51"/>
  <c r="Q17" i="51"/>
  <c r="U17" i="51" s="1"/>
  <c r="N17" i="51"/>
  <c r="K17" i="51"/>
  <c r="O17" i="51" s="1"/>
  <c r="H17" i="51"/>
  <c r="E17" i="51"/>
  <c r="AM16" i="51"/>
  <c r="X35" i="3" s="1"/>
  <c r="AK16" i="51"/>
  <c r="X16" i="3" s="1"/>
  <c r="AI16" i="51"/>
  <c r="AG16" i="51"/>
  <c r="AC16" i="51"/>
  <c r="AA16" i="51"/>
  <c r="Z16" i="51"/>
  <c r="T16" i="51"/>
  <c r="O16" i="51"/>
  <c r="N16" i="51"/>
  <c r="I16" i="51"/>
  <c r="H16" i="51"/>
  <c r="AM15" i="51"/>
  <c r="X34" i="3" s="1"/>
  <c r="AK15" i="51"/>
  <c r="X15" i="3" s="1"/>
  <c r="AI15" i="51"/>
  <c r="Z15" i="51"/>
  <c r="W15" i="51"/>
  <c r="AA15" i="51" s="1"/>
  <c r="T15" i="51"/>
  <c r="Q15" i="51"/>
  <c r="U15" i="51" s="1"/>
  <c r="N15" i="51"/>
  <c r="K15" i="51"/>
  <c r="O15" i="51" s="1"/>
  <c r="H15" i="51"/>
  <c r="E15" i="51"/>
  <c r="I15" i="51" s="1"/>
  <c r="AM14" i="51"/>
  <c r="X33" i="3" s="1"/>
  <c r="AK14" i="51"/>
  <c r="X14" i="3" s="1"/>
  <c r="AI14" i="51"/>
  <c r="Z14" i="51"/>
  <c r="W14" i="51"/>
  <c r="AA14" i="51" s="1"/>
  <c r="T14" i="51"/>
  <c r="Q14" i="51"/>
  <c r="U14" i="51" s="1"/>
  <c r="N14" i="51"/>
  <c r="K14" i="51"/>
  <c r="O14" i="51" s="1"/>
  <c r="H14" i="51"/>
  <c r="E14" i="51"/>
  <c r="AM13" i="51"/>
  <c r="X32" i="3" s="1"/>
  <c r="AK13" i="51"/>
  <c r="X13" i="3" s="1"/>
  <c r="AI13" i="51"/>
  <c r="Z13" i="51"/>
  <c r="W13" i="51"/>
  <c r="AA13" i="51" s="1"/>
  <c r="T13" i="51"/>
  <c r="Q13" i="51"/>
  <c r="U13" i="51" s="1"/>
  <c r="N13" i="51"/>
  <c r="K13" i="51"/>
  <c r="O13" i="51" s="1"/>
  <c r="H13" i="51"/>
  <c r="E13" i="51"/>
  <c r="I13" i="51" s="1"/>
  <c r="AM12" i="51"/>
  <c r="X31" i="3" s="1"/>
  <c r="AK12" i="51"/>
  <c r="X12" i="3" s="1"/>
  <c r="AI12" i="51"/>
  <c r="Z12" i="51"/>
  <c r="W12" i="51"/>
  <c r="AA12" i="51" s="1"/>
  <c r="T12" i="51"/>
  <c r="Q12" i="51"/>
  <c r="U12" i="51" s="1"/>
  <c r="N12" i="51"/>
  <c r="K12" i="51"/>
  <c r="O12" i="51" s="1"/>
  <c r="H12" i="51"/>
  <c r="E12" i="51"/>
  <c r="AM11" i="51"/>
  <c r="X30" i="3" s="1"/>
  <c r="AK11" i="51"/>
  <c r="X11" i="3" s="1"/>
  <c r="AI11" i="51"/>
  <c r="Z11" i="51"/>
  <c r="W11" i="51"/>
  <c r="T11" i="51"/>
  <c r="Q11" i="51"/>
  <c r="U11" i="51" s="1"/>
  <c r="N11" i="51"/>
  <c r="K11" i="51"/>
  <c r="O11" i="51" s="1"/>
  <c r="H11" i="51"/>
  <c r="E11" i="51"/>
  <c r="I11" i="51" s="1"/>
  <c r="AM10" i="51"/>
  <c r="X29" i="3" s="1"/>
  <c r="AK10" i="51"/>
  <c r="X10" i="3" s="1"/>
  <c r="AI10" i="51"/>
  <c r="Z10" i="51"/>
  <c r="W10" i="51"/>
  <c r="AA10" i="51" s="1"/>
  <c r="T10" i="51"/>
  <c r="Q10" i="51"/>
  <c r="U10" i="51" s="1"/>
  <c r="N10" i="51"/>
  <c r="K10" i="51"/>
  <c r="O10" i="51" s="1"/>
  <c r="H10" i="51"/>
  <c r="E10" i="51"/>
  <c r="AM9" i="51"/>
  <c r="X28" i="3" s="1"/>
  <c r="AK9" i="51"/>
  <c r="X9" i="3" s="1"/>
  <c r="AI9" i="51"/>
  <c r="Z9" i="51"/>
  <c r="W9" i="51"/>
  <c r="AA9" i="51" s="1"/>
  <c r="T9" i="51"/>
  <c r="Q9" i="51"/>
  <c r="U9" i="51" s="1"/>
  <c r="N9" i="51"/>
  <c r="K9" i="51"/>
  <c r="O9" i="51" s="1"/>
  <c r="H9" i="51"/>
  <c r="E9" i="51"/>
  <c r="AM8" i="51"/>
  <c r="X27" i="3" s="1"/>
  <c r="AK8" i="51"/>
  <c r="X8" i="3" s="1"/>
  <c r="AI8" i="51"/>
  <c r="Z8" i="51"/>
  <c r="W8" i="51"/>
  <c r="T8" i="51"/>
  <c r="Q8" i="51"/>
  <c r="N8" i="51"/>
  <c r="K8" i="51"/>
  <c r="O8" i="51" s="1"/>
  <c r="H8" i="51"/>
  <c r="E8" i="51"/>
  <c r="I8" i="51" s="1"/>
  <c r="AA37" i="50"/>
  <c r="U37" i="50"/>
  <c r="O37" i="50"/>
  <c r="I37" i="50"/>
  <c r="AE23" i="50"/>
  <c r="Y23" i="50"/>
  <c r="X23" i="50"/>
  <c r="V23" i="50"/>
  <c r="S23" i="50"/>
  <c r="R23" i="50"/>
  <c r="P23" i="50"/>
  <c r="M23" i="50"/>
  <c r="L23" i="50"/>
  <c r="J23" i="50"/>
  <c r="G23" i="50"/>
  <c r="F23" i="50"/>
  <c r="D23" i="50"/>
  <c r="AM22" i="50"/>
  <c r="W41" i="3" s="1"/>
  <c r="AK22" i="50"/>
  <c r="W22" i="3" s="1"/>
  <c r="AI22" i="50"/>
  <c r="AG22" i="50"/>
  <c r="AC22" i="50"/>
  <c r="AA22" i="50"/>
  <c r="Z22" i="50"/>
  <c r="U22" i="50"/>
  <c r="T22" i="50"/>
  <c r="O22" i="50"/>
  <c r="N22" i="50"/>
  <c r="I22" i="50"/>
  <c r="H22" i="50"/>
  <c r="AM21" i="50"/>
  <c r="W40" i="3" s="1"/>
  <c r="AK21" i="50"/>
  <c r="W21" i="3" s="1"/>
  <c r="AI21" i="50"/>
  <c r="AG21" i="50"/>
  <c r="AC21" i="50"/>
  <c r="AA21" i="50"/>
  <c r="Z21" i="50"/>
  <c r="U21" i="50"/>
  <c r="T21" i="50"/>
  <c r="O21" i="50"/>
  <c r="N21" i="50"/>
  <c r="I21" i="50"/>
  <c r="H21" i="50"/>
  <c r="AM20" i="50"/>
  <c r="W39" i="3" s="1"/>
  <c r="AK20" i="50"/>
  <c r="W20" i="3" s="1"/>
  <c r="AI20" i="50"/>
  <c r="AG20" i="50"/>
  <c r="AC20" i="50"/>
  <c r="AA20" i="50"/>
  <c r="Z20" i="50"/>
  <c r="U20" i="50"/>
  <c r="T20" i="50"/>
  <c r="O20" i="50"/>
  <c r="N20" i="50"/>
  <c r="I20" i="50"/>
  <c r="H20" i="50"/>
  <c r="AM19" i="50"/>
  <c r="W38" i="3" s="1"/>
  <c r="AK19" i="50"/>
  <c r="W19" i="3" s="1"/>
  <c r="AI19" i="50"/>
  <c r="Z19" i="50"/>
  <c r="W19" i="50"/>
  <c r="AA19" i="50" s="1"/>
  <c r="T19" i="50"/>
  <c r="Q19" i="50"/>
  <c r="U19" i="50" s="1"/>
  <c r="N19" i="50"/>
  <c r="K19" i="50"/>
  <c r="O19" i="50" s="1"/>
  <c r="H19" i="50"/>
  <c r="E19" i="50"/>
  <c r="AM18" i="50"/>
  <c r="W37" i="3" s="1"/>
  <c r="AK18" i="50"/>
  <c r="W18" i="3" s="1"/>
  <c r="AI18" i="50"/>
  <c r="Z18" i="50"/>
  <c r="W18" i="50"/>
  <c r="AA18" i="50" s="1"/>
  <c r="T18" i="50"/>
  <c r="Q18" i="50"/>
  <c r="N18" i="50"/>
  <c r="K18" i="50"/>
  <c r="O18" i="50" s="1"/>
  <c r="H18" i="50"/>
  <c r="E18" i="50"/>
  <c r="I18" i="50" s="1"/>
  <c r="AM17" i="50"/>
  <c r="W36" i="3" s="1"/>
  <c r="AK17" i="50"/>
  <c r="W17" i="3" s="1"/>
  <c r="AI17" i="50"/>
  <c r="Z17" i="50"/>
  <c r="W17" i="50"/>
  <c r="AA17" i="50" s="1"/>
  <c r="T17" i="50"/>
  <c r="Q17" i="50"/>
  <c r="U17" i="50" s="1"/>
  <c r="N17" i="50"/>
  <c r="K17" i="50"/>
  <c r="O17" i="50" s="1"/>
  <c r="H17" i="50"/>
  <c r="E17" i="50"/>
  <c r="AM16" i="50"/>
  <c r="W35" i="3" s="1"/>
  <c r="AK16" i="50"/>
  <c r="W16" i="3" s="1"/>
  <c r="AI16" i="50"/>
  <c r="AG16" i="50"/>
  <c r="AC16" i="50"/>
  <c r="AA16" i="50"/>
  <c r="Z16" i="50"/>
  <c r="T16" i="50"/>
  <c r="O16" i="50"/>
  <c r="N16" i="50"/>
  <c r="I16" i="50"/>
  <c r="H16" i="50"/>
  <c r="AM15" i="50"/>
  <c r="W34" i="3" s="1"/>
  <c r="AK15" i="50"/>
  <c r="W15" i="3" s="1"/>
  <c r="AI15" i="50"/>
  <c r="Z15" i="50"/>
  <c r="W15" i="50"/>
  <c r="T15" i="50"/>
  <c r="Q15" i="50"/>
  <c r="U15" i="50" s="1"/>
  <c r="N15" i="50"/>
  <c r="K15" i="50"/>
  <c r="O15" i="50" s="1"/>
  <c r="H15" i="50"/>
  <c r="E15" i="50"/>
  <c r="I15" i="50" s="1"/>
  <c r="AM14" i="50"/>
  <c r="W33" i="3" s="1"/>
  <c r="AK14" i="50"/>
  <c r="W14" i="3" s="1"/>
  <c r="AI14" i="50"/>
  <c r="Z14" i="50"/>
  <c r="W14" i="50"/>
  <c r="AA14" i="50" s="1"/>
  <c r="T14" i="50"/>
  <c r="Q14" i="50"/>
  <c r="U14" i="50" s="1"/>
  <c r="N14" i="50"/>
  <c r="K14" i="50"/>
  <c r="O14" i="50" s="1"/>
  <c r="H14" i="50"/>
  <c r="E14" i="50"/>
  <c r="AG14" i="50" s="1"/>
  <c r="AM13" i="50"/>
  <c r="W32" i="3" s="1"/>
  <c r="AK13" i="50"/>
  <c r="W13" i="3" s="1"/>
  <c r="AI13" i="50"/>
  <c r="Z13" i="50"/>
  <c r="W13" i="50"/>
  <c r="T13" i="50"/>
  <c r="Q13" i="50"/>
  <c r="U13" i="50" s="1"/>
  <c r="N13" i="50"/>
  <c r="K13" i="50"/>
  <c r="O13" i="50" s="1"/>
  <c r="H13" i="50"/>
  <c r="E13" i="50"/>
  <c r="AM12" i="50"/>
  <c r="W31" i="3" s="1"/>
  <c r="AK12" i="50"/>
  <c r="W12" i="3" s="1"/>
  <c r="AI12" i="50"/>
  <c r="Z12" i="50"/>
  <c r="W12" i="50"/>
  <c r="AA12" i="50" s="1"/>
  <c r="T12" i="50"/>
  <c r="Q12" i="50"/>
  <c r="U12" i="50" s="1"/>
  <c r="N12" i="50"/>
  <c r="K12" i="50"/>
  <c r="O12" i="50" s="1"/>
  <c r="H12" i="50"/>
  <c r="E12" i="50"/>
  <c r="AM11" i="50"/>
  <c r="W30" i="3" s="1"/>
  <c r="AK11" i="50"/>
  <c r="W11" i="3" s="1"/>
  <c r="AI11" i="50"/>
  <c r="Z11" i="50"/>
  <c r="W11" i="50"/>
  <c r="T11" i="50"/>
  <c r="Q11" i="50"/>
  <c r="U11" i="50" s="1"/>
  <c r="N11" i="50"/>
  <c r="K11" i="50"/>
  <c r="O11" i="50" s="1"/>
  <c r="H11" i="50"/>
  <c r="E11" i="50"/>
  <c r="I11" i="50" s="1"/>
  <c r="AM10" i="50"/>
  <c r="W29" i="3" s="1"/>
  <c r="AK10" i="50"/>
  <c r="W10" i="3" s="1"/>
  <c r="AI10" i="50"/>
  <c r="Z10" i="50"/>
  <c r="W10" i="50"/>
  <c r="AA10" i="50" s="1"/>
  <c r="T10" i="50"/>
  <c r="Q10" i="50"/>
  <c r="U10" i="50" s="1"/>
  <c r="N10" i="50"/>
  <c r="K10" i="50"/>
  <c r="O10" i="50" s="1"/>
  <c r="H10" i="50"/>
  <c r="E10" i="50"/>
  <c r="AG10" i="50" s="1"/>
  <c r="AM9" i="50"/>
  <c r="W28" i="3" s="1"/>
  <c r="AK9" i="50"/>
  <c r="W9" i="3" s="1"/>
  <c r="AI9" i="50"/>
  <c r="Z9" i="50"/>
  <c r="W9" i="50"/>
  <c r="AA9" i="50" s="1"/>
  <c r="T9" i="50"/>
  <c r="Q9" i="50"/>
  <c r="U9" i="50" s="1"/>
  <c r="N9" i="50"/>
  <c r="K9" i="50"/>
  <c r="H9" i="50"/>
  <c r="E9" i="50"/>
  <c r="AM8" i="50"/>
  <c r="W27" i="3" s="1"/>
  <c r="AK8" i="50"/>
  <c r="W8" i="3" s="1"/>
  <c r="AI8" i="50"/>
  <c r="Z8" i="50"/>
  <c r="W8" i="50"/>
  <c r="T8" i="50"/>
  <c r="Q8" i="50"/>
  <c r="N8" i="50"/>
  <c r="K8" i="50"/>
  <c r="O8" i="50" s="1"/>
  <c r="H8" i="50"/>
  <c r="E8" i="50"/>
  <c r="I8" i="50" s="1"/>
  <c r="AA37" i="49"/>
  <c r="U37" i="49"/>
  <c r="O37" i="49"/>
  <c r="I37" i="49"/>
  <c r="AE23" i="49"/>
  <c r="Y23" i="49"/>
  <c r="X23" i="49"/>
  <c r="V23" i="49"/>
  <c r="S23" i="49"/>
  <c r="R23" i="49"/>
  <c r="P23" i="49"/>
  <c r="M23" i="49"/>
  <c r="L23" i="49"/>
  <c r="J23" i="49"/>
  <c r="G23" i="49"/>
  <c r="F23" i="49"/>
  <c r="D23" i="49"/>
  <c r="AM22" i="49"/>
  <c r="V41" i="3" s="1"/>
  <c r="AK22" i="49"/>
  <c r="V22" i="3" s="1"/>
  <c r="AI22" i="49"/>
  <c r="AG22" i="49"/>
  <c r="AC22" i="49"/>
  <c r="AA22" i="49"/>
  <c r="Z22" i="49"/>
  <c r="U22" i="49"/>
  <c r="T22" i="49"/>
  <c r="O22" i="49"/>
  <c r="N22" i="49"/>
  <c r="I22" i="49"/>
  <c r="H22" i="49"/>
  <c r="AM21" i="49"/>
  <c r="V40" i="3" s="1"/>
  <c r="AK21" i="49"/>
  <c r="V21" i="3" s="1"/>
  <c r="AI21" i="49"/>
  <c r="AG21" i="49"/>
  <c r="AC21" i="49"/>
  <c r="AA21" i="49"/>
  <c r="Z21" i="49"/>
  <c r="U21" i="49"/>
  <c r="T21" i="49"/>
  <c r="O21" i="49"/>
  <c r="N21" i="49"/>
  <c r="I21" i="49"/>
  <c r="H21" i="49"/>
  <c r="AM20" i="49"/>
  <c r="V39" i="3" s="1"/>
  <c r="AK20" i="49"/>
  <c r="V20" i="3" s="1"/>
  <c r="AI20" i="49"/>
  <c r="AG20" i="49"/>
  <c r="AC20" i="49"/>
  <c r="AA20" i="49"/>
  <c r="Z20" i="49"/>
  <c r="U20" i="49"/>
  <c r="T20" i="49"/>
  <c r="O20" i="49"/>
  <c r="N20" i="49"/>
  <c r="I20" i="49"/>
  <c r="H20" i="49"/>
  <c r="AM19" i="49"/>
  <c r="V38" i="3" s="1"/>
  <c r="AK19" i="49"/>
  <c r="V19" i="3" s="1"/>
  <c r="AI19" i="49"/>
  <c r="Z19" i="49"/>
  <c r="W19" i="49"/>
  <c r="AA19" i="49" s="1"/>
  <c r="T19" i="49"/>
  <c r="Q19" i="49"/>
  <c r="U19" i="49" s="1"/>
  <c r="N19" i="49"/>
  <c r="K19" i="49"/>
  <c r="O19" i="49" s="1"/>
  <c r="H19" i="49"/>
  <c r="E19" i="49"/>
  <c r="AM18" i="49"/>
  <c r="V37" i="3" s="1"/>
  <c r="AK18" i="49"/>
  <c r="V18" i="3" s="1"/>
  <c r="AI18" i="49"/>
  <c r="Z18" i="49"/>
  <c r="W18" i="49"/>
  <c r="AA18" i="49" s="1"/>
  <c r="T18" i="49"/>
  <c r="Q18" i="49"/>
  <c r="N18" i="49"/>
  <c r="K18" i="49"/>
  <c r="O18" i="49" s="1"/>
  <c r="H18" i="49"/>
  <c r="E18" i="49"/>
  <c r="I18" i="49" s="1"/>
  <c r="AM17" i="49"/>
  <c r="V36" i="3" s="1"/>
  <c r="AK17" i="49"/>
  <c r="V17" i="3" s="1"/>
  <c r="AI17" i="49"/>
  <c r="Z17" i="49"/>
  <c r="W17" i="49"/>
  <c r="AA17" i="49" s="1"/>
  <c r="T17" i="49"/>
  <c r="Q17" i="49"/>
  <c r="U17" i="49" s="1"/>
  <c r="N17" i="49"/>
  <c r="K17" i="49"/>
  <c r="O17" i="49" s="1"/>
  <c r="H17" i="49"/>
  <c r="E17" i="49"/>
  <c r="AC17" i="49" s="1"/>
  <c r="AM16" i="49"/>
  <c r="V35" i="3" s="1"/>
  <c r="AK16" i="49"/>
  <c r="V16" i="3" s="1"/>
  <c r="AI16" i="49"/>
  <c r="AG16" i="49"/>
  <c r="AC16" i="49"/>
  <c r="AA16" i="49"/>
  <c r="Z16" i="49"/>
  <c r="T16" i="49"/>
  <c r="O16" i="49"/>
  <c r="N16" i="49"/>
  <c r="I16" i="49"/>
  <c r="H16" i="49"/>
  <c r="AM15" i="49"/>
  <c r="V34" i="3" s="1"/>
  <c r="AK15" i="49"/>
  <c r="V15" i="3" s="1"/>
  <c r="AI15" i="49"/>
  <c r="Z15" i="49"/>
  <c r="W15" i="49"/>
  <c r="T15" i="49"/>
  <c r="Q15" i="49"/>
  <c r="U15" i="49" s="1"/>
  <c r="N15" i="49"/>
  <c r="K15" i="49"/>
  <c r="O15" i="49" s="1"/>
  <c r="H15" i="49"/>
  <c r="E15" i="49"/>
  <c r="I15" i="49" s="1"/>
  <c r="AM14" i="49"/>
  <c r="V33" i="3" s="1"/>
  <c r="AK14" i="49"/>
  <c r="V14" i="3" s="1"/>
  <c r="AI14" i="49"/>
  <c r="Z14" i="49"/>
  <c r="W14" i="49"/>
  <c r="AA14" i="49" s="1"/>
  <c r="T14" i="49"/>
  <c r="Q14" i="49"/>
  <c r="U14" i="49" s="1"/>
  <c r="N14" i="49"/>
  <c r="K14" i="49"/>
  <c r="O14" i="49" s="1"/>
  <c r="H14" i="49"/>
  <c r="E14" i="49"/>
  <c r="AM13" i="49"/>
  <c r="V32" i="3" s="1"/>
  <c r="AK13" i="49"/>
  <c r="V13" i="3" s="1"/>
  <c r="AI13" i="49"/>
  <c r="Z13" i="49"/>
  <c r="W13" i="49"/>
  <c r="T13" i="49"/>
  <c r="Q13" i="49"/>
  <c r="U13" i="49" s="1"/>
  <c r="N13" i="49"/>
  <c r="K13" i="49"/>
  <c r="O13" i="49" s="1"/>
  <c r="H13" i="49"/>
  <c r="E13" i="49"/>
  <c r="I13" i="49" s="1"/>
  <c r="AM12" i="49"/>
  <c r="V31" i="3" s="1"/>
  <c r="AK12" i="49"/>
  <c r="V12" i="3" s="1"/>
  <c r="AI12" i="49"/>
  <c r="Z12" i="49"/>
  <c r="W12" i="49"/>
  <c r="AA12" i="49" s="1"/>
  <c r="T12" i="49"/>
  <c r="Q12" i="49"/>
  <c r="U12" i="49" s="1"/>
  <c r="N12" i="49"/>
  <c r="K12" i="49"/>
  <c r="O12" i="49" s="1"/>
  <c r="H12" i="49"/>
  <c r="E12" i="49"/>
  <c r="AG12" i="49" s="1"/>
  <c r="AM11" i="49"/>
  <c r="V30" i="3" s="1"/>
  <c r="AK11" i="49"/>
  <c r="V11" i="3" s="1"/>
  <c r="AI11" i="49"/>
  <c r="Z11" i="49"/>
  <c r="W11" i="49"/>
  <c r="AA11" i="49" s="1"/>
  <c r="T11" i="49"/>
  <c r="Q11" i="49"/>
  <c r="U11" i="49" s="1"/>
  <c r="N11" i="49"/>
  <c r="K11" i="49"/>
  <c r="O11" i="49" s="1"/>
  <c r="H11" i="49"/>
  <c r="E11" i="49"/>
  <c r="I11" i="49" s="1"/>
  <c r="AM10" i="49"/>
  <c r="V29" i="3" s="1"/>
  <c r="AK10" i="49"/>
  <c r="V10" i="3" s="1"/>
  <c r="AI10" i="49"/>
  <c r="Z10" i="49"/>
  <c r="W10" i="49"/>
  <c r="AA10" i="49" s="1"/>
  <c r="T10" i="49"/>
  <c r="Q10" i="49"/>
  <c r="U10" i="49" s="1"/>
  <c r="N10" i="49"/>
  <c r="K10" i="49"/>
  <c r="O10" i="49" s="1"/>
  <c r="H10" i="49"/>
  <c r="E10" i="49"/>
  <c r="AM9" i="49"/>
  <c r="V28" i="3" s="1"/>
  <c r="AK9" i="49"/>
  <c r="V9" i="3" s="1"/>
  <c r="AI9" i="49"/>
  <c r="Z9" i="49"/>
  <c r="W9" i="49"/>
  <c r="AA9" i="49" s="1"/>
  <c r="T9" i="49"/>
  <c r="Q9" i="49"/>
  <c r="U9" i="49" s="1"/>
  <c r="N9" i="49"/>
  <c r="K9" i="49"/>
  <c r="O9" i="49" s="1"/>
  <c r="H9" i="49"/>
  <c r="E9" i="49"/>
  <c r="AG9" i="49" s="1"/>
  <c r="AM8" i="49"/>
  <c r="V27" i="3" s="1"/>
  <c r="AK8" i="49"/>
  <c r="V8" i="3" s="1"/>
  <c r="AI8" i="49"/>
  <c r="Z8" i="49"/>
  <c r="W8" i="49"/>
  <c r="T8" i="49"/>
  <c r="Q8" i="49"/>
  <c r="N8" i="49"/>
  <c r="K8" i="49"/>
  <c r="O8" i="49" s="1"/>
  <c r="H8" i="49"/>
  <c r="E8" i="49"/>
  <c r="AA37" i="48"/>
  <c r="O37" i="48"/>
  <c r="I37" i="48"/>
  <c r="AE23" i="48"/>
  <c r="Y23" i="48"/>
  <c r="X23" i="48"/>
  <c r="V23" i="48"/>
  <c r="S23" i="48"/>
  <c r="R23" i="48"/>
  <c r="P23" i="48"/>
  <c r="M23" i="48"/>
  <c r="L23" i="48"/>
  <c r="J23" i="48"/>
  <c r="G23" i="48"/>
  <c r="F23" i="48"/>
  <c r="D23" i="48"/>
  <c r="AM22" i="48"/>
  <c r="U41" i="3" s="1"/>
  <c r="AK22" i="48"/>
  <c r="U22" i="3" s="1"/>
  <c r="AI22" i="48"/>
  <c r="AG22" i="48"/>
  <c r="AC22" i="48"/>
  <c r="AA22" i="48"/>
  <c r="Z22" i="48"/>
  <c r="U22" i="48"/>
  <c r="T22" i="48"/>
  <c r="O22" i="48"/>
  <c r="N22" i="48"/>
  <c r="I22" i="48"/>
  <c r="H22" i="48"/>
  <c r="AM21" i="48"/>
  <c r="U40" i="3" s="1"/>
  <c r="AK21" i="48"/>
  <c r="U21" i="3" s="1"/>
  <c r="AI21" i="48"/>
  <c r="AG21" i="48"/>
  <c r="AA21" i="48"/>
  <c r="Z21" i="48"/>
  <c r="U21" i="48"/>
  <c r="T21" i="48"/>
  <c r="O21" i="48"/>
  <c r="N21" i="48"/>
  <c r="I21" i="48"/>
  <c r="H21" i="48"/>
  <c r="AM20" i="48"/>
  <c r="U39" i="3" s="1"/>
  <c r="AK20" i="48"/>
  <c r="U20" i="3" s="1"/>
  <c r="AI20" i="48"/>
  <c r="AG20" i="48"/>
  <c r="AC20" i="48"/>
  <c r="AA20" i="48"/>
  <c r="Z20" i="48"/>
  <c r="U20" i="48"/>
  <c r="T20" i="48"/>
  <c r="O20" i="48"/>
  <c r="N20" i="48"/>
  <c r="I20" i="48"/>
  <c r="H20" i="48"/>
  <c r="AM19" i="48"/>
  <c r="U38" i="3" s="1"/>
  <c r="AK19" i="48"/>
  <c r="U19" i="3" s="1"/>
  <c r="AI19" i="48"/>
  <c r="Z19" i="48"/>
  <c r="W19" i="48"/>
  <c r="AA19" i="48" s="1"/>
  <c r="T19" i="48"/>
  <c r="Q19" i="48"/>
  <c r="U19" i="48" s="1"/>
  <c r="N19" i="48"/>
  <c r="K19" i="48"/>
  <c r="O19" i="48" s="1"/>
  <c r="H19" i="48"/>
  <c r="E19" i="48"/>
  <c r="AM18" i="48"/>
  <c r="U37" i="3" s="1"/>
  <c r="AK18" i="48"/>
  <c r="U18" i="3" s="1"/>
  <c r="AI18" i="48"/>
  <c r="Z18" i="48"/>
  <c r="W18" i="48"/>
  <c r="AA18" i="48" s="1"/>
  <c r="T18" i="48"/>
  <c r="Q18" i="48"/>
  <c r="N18" i="48"/>
  <c r="K18" i="48"/>
  <c r="O18" i="48" s="1"/>
  <c r="H18" i="48"/>
  <c r="E18" i="48"/>
  <c r="I18" i="48" s="1"/>
  <c r="AM17" i="48"/>
  <c r="U36" i="3" s="1"/>
  <c r="AK17" i="48"/>
  <c r="U17" i="3" s="1"/>
  <c r="AI17" i="48"/>
  <c r="Z17" i="48"/>
  <c r="W17" i="48"/>
  <c r="AA17" i="48" s="1"/>
  <c r="T17" i="48"/>
  <c r="Q17" i="48"/>
  <c r="U17" i="48" s="1"/>
  <c r="N17" i="48"/>
  <c r="K17" i="48"/>
  <c r="O17" i="48" s="1"/>
  <c r="H17" i="48"/>
  <c r="E17" i="48"/>
  <c r="AM16" i="48"/>
  <c r="U35" i="3" s="1"/>
  <c r="AK16" i="48"/>
  <c r="U16" i="3" s="1"/>
  <c r="AI16" i="48"/>
  <c r="AG16" i="48"/>
  <c r="AC16" i="48"/>
  <c r="AA16" i="48"/>
  <c r="Z16" i="48"/>
  <c r="T16" i="48"/>
  <c r="O16" i="48"/>
  <c r="N16" i="48"/>
  <c r="I16" i="48"/>
  <c r="H16" i="48"/>
  <c r="AM15" i="48"/>
  <c r="U34" i="3" s="1"/>
  <c r="AK15" i="48"/>
  <c r="U15" i="3" s="1"/>
  <c r="AI15" i="48"/>
  <c r="Z15" i="48"/>
  <c r="W15" i="48"/>
  <c r="T15" i="48"/>
  <c r="Q15" i="48"/>
  <c r="U15" i="48" s="1"/>
  <c r="N15" i="48"/>
  <c r="K15" i="48"/>
  <c r="O15" i="48" s="1"/>
  <c r="H15" i="48"/>
  <c r="E15" i="48"/>
  <c r="I15" i="48" s="1"/>
  <c r="AM14" i="48"/>
  <c r="U33" i="3" s="1"/>
  <c r="AK14" i="48"/>
  <c r="U14" i="3" s="1"/>
  <c r="AI14" i="48"/>
  <c r="Z14" i="48"/>
  <c r="W14" i="48"/>
  <c r="AA14" i="48" s="1"/>
  <c r="T14" i="48"/>
  <c r="Q14" i="48"/>
  <c r="U14" i="48" s="1"/>
  <c r="N14" i="48"/>
  <c r="K14" i="48"/>
  <c r="O14" i="48" s="1"/>
  <c r="H14" i="48"/>
  <c r="E14" i="48"/>
  <c r="AM13" i="48"/>
  <c r="U32" i="3" s="1"/>
  <c r="AK13" i="48"/>
  <c r="U13" i="3" s="1"/>
  <c r="AI13" i="48"/>
  <c r="Z13" i="48"/>
  <c r="W13" i="48"/>
  <c r="AA13" i="48" s="1"/>
  <c r="T13" i="48"/>
  <c r="Q13" i="48"/>
  <c r="U13" i="48" s="1"/>
  <c r="N13" i="48"/>
  <c r="K13" i="48"/>
  <c r="O13" i="48" s="1"/>
  <c r="H13" i="48"/>
  <c r="E13" i="48"/>
  <c r="I13" i="48" s="1"/>
  <c r="AM12" i="48"/>
  <c r="U31" i="3" s="1"/>
  <c r="AK12" i="48"/>
  <c r="U12" i="3" s="1"/>
  <c r="AI12" i="48"/>
  <c r="Z12" i="48"/>
  <c r="W12" i="48"/>
  <c r="AA12" i="48" s="1"/>
  <c r="T12" i="48"/>
  <c r="Q12" i="48"/>
  <c r="U12" i="48" s="1"/>
  <c r="N12" i="48"/>
  <c r="K12" i="48"/>
  <c r="O12" i="48" s="1"/>
  <c r="H12" i="48"/>
  <c r="E12" i="48"/>
  <c r="AM11" i="48"/>
  <c r="U30" i="3" s="1"/>
  <c r="AK11" i="48"/>
  <c r="U11" i="3" s="1"/>
  <c r="AI11" i="48"/>
  <c r="Z11" i="48"/>
  <c r="W11" i="48"/>
  <c r="T11" i="48"/>
  <c r="Q11" i="48"/>
  <c r="U11" i="48" s="1"/>
  <c r="N11" i="48"/>
  <c r="K11" i="48"/>
  <c r="O11" i="48" s="1"/>
  <c r="H11" i="48"/>
  <c r="E11" i="48"/>
  <c r="I11" i="48" s="1"/>
  <c r="AM10" i="48"/>
  <c r="U29" i="3" s="1"/>
  <c r="AK10" i="48"/>
  <c r="U10" i="3" s="1"/>
  <c r="AI10" i="48"/>
  <c r="Z10" i="48"/>
  <c r="W10" i="48"/>
  <c r="AA10" i="48" s="1"/>
  <c r="T10" i="48"/>
  <c r="Q10" i="48"/>
  <c r="U10" i="48" s="1"/>
  <c r="N10" i="48"/>
  <c r="K10" i="48"/>
  <c r="O10" i="48" s="1"/>
  <c r="H10" i="48"/>
  <c r="E10" i="48"/>
  <c r="AM9" i="48"/>
  <c r="U28" i="3" s="1"/>
  <c r="AK9" i="48"/>
  <c r="U9" i="3" s="1"/>
  <c r="AI9" i="48"/>
  <c r="Z9" i="48"/>
  <c r="W9" i="48"/>
  <c r="AA9" i="48" s="1"/>
  <c r="T9" i="48"/>
  <c r="Q9" i="48"/>
  <c r="U9" i="48" s="1"/>
  <c r="N9" i="48"/>
  <c r="K9" i="48"/>
  <c r="O9" i="48" s="1"/>
  <c r="H9" i="48"/>
  <c r="E9" i="48"/>
  <c r="AM8" i="48"/>
  <c r="U27" i="3" s="1"/>
  <c r="AK8" i="48"/>
  <c r="U8" i="3" s="1"/>
  <c r="AI8" i="48"/>
  <c r="Z8" i="48"/>
  <c r="W8" i="48"/>
  <c r="AA8" i="48" s="1"/>
  <c r="T8" i="48"/>
  <c r="Q8" i="48"/>
  <c r="N8" i="48"/>
  <c r="K8" i="48"/>
  <c r="O8" i="48" s="1"/>
  <c r="H8" i="48"/>
  <c r="E8" i="48"/>
  <c r="AA37" i="47"/>
  <c r="U37" i="47"/>
  <c r="O37" i="47"/>
  <c r="I37" i="47"/>
  <c r="AE23" i="47"/>
  <c r="Y23" i="47"/>
  <c r="X23" i="47"/>
  <c r="V23" i="47"/>
  <c r="S23" i="47"/>
  <c r="R23" i="47"/>
  <c r="P23" i="47"/>
  <c r="M23" i="47"/>
  <c r="L23" i="47"/>
  <c r="J23" i="47"/>
  <c r="G23" i="47"/>
  <c r="F23" i="47"/>
  <c r="D23" i="47"/>
  <c r="AM22" i="47"/>
  <c r="T41" i="3" s="1"/>
  <c r="AK22" i="47"/>
  <c r="T22" i="3" s="1"/>
  <c r="AI22" i="47"/>
  <c r="AG22" i="47"/>
  <c r="AC22" i="47"/>
  <c r="AA22" i="47"/>
  <c r="Z22" i="47"/>
  <c r="U22" i="47"/>
  <c r="T22" i="47"/>
  <c r="O22" i="47"/>
  <c r="N22" i="47"/>
  <c r="I22" i="47"/>
  <c r="H22" i="47"/>
  <c r="AM21" i="47"/>
  <c r="T40" i="3" s="1"/>
  <c r="AK21" i="47"/>
  <c r="T21" i="3" s="1"/>
  <c r="AI21" i="47"/>
  <c r="AG21" i="47"/>
  <c r="AC21" i="47"/>
  <c r="AA21" i="47"/>
  <c r="Z21" i="47"/>
  <c r="U21" i="47"/>
  <c r="T21" i="47"/>
  <c r="O21" i="47"/>
  <c r="N21" i="47"/>
  <c r="I21" i="47"/>
  <c r="H21" i="47"/>
  <c r="AM20" i="47"/>
  <c r="T39" i="3" s="1"/>
  <c r="AK20" i="47"/>
  <c r="T20" i="3" s="1"/>
  <c r="AI20" i="47"/>
  <c r="AG20" i="47"/>
  <c r="AC20" i="47"/>
  <c r="AA20" i="47"/>
  <c r="Z20" i="47"/>
  <c r="U20" i="47"/>
  <c r="T20" i="47"/>
  <c r="O20" i="47"/>
  <c r="N20" i="47"/>
  <c r="I20" i="47"/>
  <c r="H20" i="47"/>
  <c r="AM19" i="47"/>
  <c r="T38" i="3" s="1"/>
  <c r="AK19" i="47"/>
  <c r="T19" i="3" s="1"/>
  <c r="AI19" i="47"/>
  <c r="Z19" i="47"/>
  <c r="W19" i="47"/>
  <c r="AA19" i="47" s="1"/>
  <c r="T19" i="47"/>
  <c r="Q19" i="47"/>
  <c r="U19" i="47" s="1"/>
  <c r="N19" i="47"/>
  <c r="K19" i="47"/>
  <c r="O19" i="47" s="1"/>
  <c r="H19" i="47"/>
  <c r="E19" i="47"/>
  <c r="AM18" i="47"/>
  <c r="T37" i="3" s="1"/>
  <c r="AK18" i="47"/>
  <c r="T18" i="3" s="1"/>
  <c r="AI18" i="47"/>
  <c r="Z18" i="47"/>
  <c r="W18" i="47"/>
  <c r="AA18" i="47" s="1"/>
  <c r="T18" i="47"/>
  <c r="Q18" i="47"/>
  <c r="N18" i="47"/>
  <c r="K18" i="47"/>
  <c r="O18" i="47" s="1"/>
  <c r="H18" i="47"/>
  <c r="E18" i="47"/>
  <c r="I18" i="47" s="1"/>
  <c r="AM17" i="47"/>
  <c r="T36" i="3" s="1"/>
  <c r="AK17" i="47"/>
  <c r="T17" i="3" s="1"/>
  <c r="AI17" i="47"/>
  <c r="Z17" i="47"/>
  <c r="W17" i="47"/>
  <c r="AA17" i="47" s="1"/>
  <c r="T17" i="47"/>
  <c r="Q17" i="47"/>
  <c r="U17" i="47" s="1"/>
  <c r="N17" i="47"/>
  <c r="K17" i="47"/>
  <c r="O17" i="47" s="1"/>
  <c r="H17" i="47"/>
  <c r="E17" i="47"/>
  <c r="AG17" i="47" s="1"/>
  <c r="AM16" i="47"/>
  <c r="T35" i="3" s="1"/>
  <c r="AK16" i="47"/>
  <c r="T16" i="3" s="1"/>
  <c r="AI16" i="47"/>
  <c r="AG16" i="47"/>
  <c r="AC16" i="47"/>
  <c r="AA16" i="47"/>
  <c r="Z16" i="47"/>
  <c r="T16" i="47"/>
  <c r="O16" i="47"/>
  <c r="N16" i="47"/>
  <c r="I16" i="47"/>
  <c r="H16" i="47"/>
  <c r="AM15" i="47"/>
  <c r="T34" i="3" s="1"/>
  <c r="AK15" i="47"/>
  <c r="T15" i="3" s="1"/>
  <c r="AI15" i="47"/>
  <c r="Z15" i="47"/>
  <c r="W15" i="47"/>
  <c r="AA15" i="47" s="1"/>
  <c r="T15" i="47"/>
  <c r="Q15" i="47"/>
  <c r="U15" i="47" s="1"/>
  <c r="N15" i="47"/>
  <c r="K15" i="47"/>
  <c r="O15" i="47" s="1"/>
  <c r="H15" i="47"/>
  <c r="E15" i="47"/>
  <c r="I15" i="47" s="1"/>
  <c r="AM14" i="47"/>
  <c r="T33" i="3" s="1"/>
  <c r="AK14" i="47"/>
  <c r="T14" i="3" s="1"/>
  <c r="AI14" i="47"/>
  <c r="Z14" i="47"/>
  <c r="W14" i="47"/>
  <c r="AA14" i="47" s="1"/>
  <c r="T14" i="47"/>
  <c r="Q14" i="47"/>
  <c r="U14" i="47" s="1"/>
  <c r="N14" i="47"/>
  <c r="K14" i="47"/>
  <c r="O14" i="47" s="1"/>
  <c r="H14" i="47"/>
  <c r="E14" i="47"/>
  <c r="AM13" i="47"/>
  <c r="T32" i="3" s="1"/>
  <c r="AK13" i="47"/>
  <c r="T13" i="3" s="1"/>
  <c r="AI13" i="47"/>
  <c r="Z13" i="47"/>
  <c r="W13" i="47"/>
  <c r="AA13" i="47" s="1"/>
  <c r="T13" i="47"/>
  <c r="Q13" i="47"/>
  <c r="U13" i="47" s="1"/>
  <c r="N13" i="47"/>
  <c r="K13" i="47"/>
  <c r="O13" i="47" s="1"/>
  <c r="H13" i="47"/>
  <c r="E13" i="47"/>
  <c r="I13" i="47" s="1"/>
  <c r="AM12" i="47"/>
  <c r="T31" i="3" s="1"/>
  <c r="AK12" i="47"/>
  <c r="T12" i="3" s="1"/>
  <c r="AI12" i="47"/>
  <c r="Z12" i="47"/>
  <c r="W12" i="47"/>
  <c r="AA12" i="47" s="1"/>
  <c r="T12" i="47"/>
  <c r="Q12" i="47"/>
  <c r="U12" i="47" s="1"/>
  <c r="N12" i="47"/>
  <c r="K12" i="47"/>
  <c r="O12" i="47" s="1"/>
  <c r="H12" i="47"/>
  <c r="E12" i="47"/>
  <c r="AM11" i="47"/>
  <c r="T30" i="3" s="1"/>
  <c r="AK11" i="47"/>
  <c r="T11" i="3" s="1"/>
  <c r="AI11" i="47"/>
  <c r="Z11" i="47"/>
  <c r="W11" i="47"/>
  <c r="AA11" i="47" s="1"/>
  <c r="T11" i="47"/>
  <c r="Q11" i="47"/>
  <c r="U11" i="47" s="1"/>
  <c r="N11" i="47"/>
  <c r="K11" i="47"/>
  <c r="O11" i="47" s="1"/>
  <c r="H11" i="47"/>
  <c r="E11" i="47"/>
  <c r="I11" i="47" s="1"/>
  <c r="AM10" i="47"/>
  <c r="T29" i="3" s="1"/>
  <c r="AK10" i="47"/>
  <c r="T10" i="3" s="1"/>
  <c r="AI10" i="47"/>
  <c r="Z10" i="47"/>
  <c r="W10" i="47"/>
  <c r="AA10" i="47" s="1"/>
  <c r="T10" i="47"/>
  <c r="Q10" i="47"/>
  <c r="U10" i="47" s="1"/>
  <c r="N10" i="47"/>
  <c r="K10" i="47"/>
  <c r="O10" i="47" s="1"/>
  <c r="H10" i="47"/>
  <c r="E10" i="47"/>
  <c r="AM9" i="47"/>
  <c r="T28" i="3" s="1"/>
  <c r="AK9" i="47"/>
  <c r="T9" i="3" s="1"/>
  <c r="AI9" i="47"/>
  <c r="Z9" i="47"/>
  <c r="W9" i="47"/>
  <c r="AA9" i="47" s="1"/>
  <c r="T9" i="47"/>
  <c r="Q9" i="47"/>
  <c r="U9" i="47" s="1"/>
  <c r="N9" i="47"/>
  <c r="K9" i="47"/>
  <c r="H9" i="47"/>
  <c r="E9" i="47"/>
  <c r="AM8" i="47"/>
  <c r="T27" i="3" s="1"/>
  <c r="AK8" i="47"/>
  <c r="T8" i="3" s="1"/>
  <c r="AI8" i="47"/>
  <c r="Z8" i="47"/>
  <c r="W8" i="47"/>
  <c r="T8" i="47"/>
  <c r="Q8" i="47"/>
  <c r="N8" i="47"/>
  <c r="K8" i="47"/>
  <c r="O8" i="47" s="1"/>
  <c r="H8" i="47"/>
  <c r="E8" i="47"/>
  <c r="AA37" i="46"/>
  <c r="U37" i="46"/>
  <c r="O37" i="46"/>
  <c r="I37" i="46"/>
  <c r="AE23" i="46"/>
  <c r="Y23" i="46"/>
  <c r="X23" i="46"/>
  <c r="V23" i="46"/>
  <c r="S23" i="46"/>
  <c r="R23" i="46"/>
  <c r="P23" i="46"/>
  <c r="M23" i="46"/>
  <c r="L23" i="46"/>
  <c r="J23" i="46"/>
  <c r="G23" i="46"/>
  <c r="F23" i="46"/>
  <c r="D23" i="46"/>
  <c r="AM22" i="46"/>
  <c r="S41" i="3" s="1"/>
  <c r="AK22" i="46"/>
  <c r="S22" i="3" s="1"/>
  <c r="AI22" i="46"/>
  <c r="AG22" i="46"/>
  <c r="AC22" i="46"/>
  <c r="AB22" i="46"/>
  <c r="AA22" i="46"/>
  <c r="Z22" i="46"/>
  <c r="U22" i="46"/>
  <c r="T22" i="46"/>
  <c r="O22" i="46"/>
  <c r="N22" i="46"/>
  <c r="I22" i="46"/>
  <c r="H22" i="46"/>
  <c r="AM21" i="46"/>
  <c r="S40" i="3" s="1"/>
  <c r="AK21" i="46"/>
  <c r="S21" i="3" s="1"/>
  <c r="AI21" i="46"/>
  <c r="AG21" i="46"/>
  <c r="AC21" i="46"/>
  <c r="AB21" i="46"/>
  <c r="AA21" i="46"/>
  <c r="Z21" i="46"/>
  <c r="U21" i="46"/>
  <c r="T21" i="46"/>
  <c r="O21" i="46"/>
  <c r="N21" i="46"/>
  <c r="I21" i="46"/>
  <c r="H21" i="46"/>
  <c r="AM20" i="46"/>
  <c r="S39" i="3" s="1"/>
  <c r="AK20" i="46"/>
  <c r="S20" i="3" s="1"/>
  <c r="AI20" i="46"/>
  <c r="AG20" i="46"/>
  <c r="AC20" i="46"/>
  <c r="AB20" i="46"/>
  <c r="AA20" i="46"/>
  <c r="Z20" i="46"/>
  <c r="U20" i="46"/>
  <c r="T20" i="46"/>
  <c r="O20" i="46"/>
  <c r="N20" i="46"/>
  <c r="I20" i="46"/>
  <c r="H20" i="46"/>
  <c r="AM19" i="46"/>
  <c r="S38" i="3" s="1"/>
  <c r="AK19" i="46"/>
  <c r="S19" i="3" s="1"/>
  <c r="AI19" i="46"/>
  <c r="AB19" i="46"/>
  <c r="Z19" i="46"/>
  <c r="W19" i="46"/>
  <c r="AA19" i="46" s="1"/>
  <c r="T19" i="46"/>
  <c r="Q19" i="46"/>
  <c r="U19" i="46" s="1"/>
  <c r="N19" i="46"/>
  <c r="K19" i="46"/>
  <c r="O19" i="46" s="1"/>
  <c r="H19" i="46"/>
  <c r="E19" i="46"/>
  <c r="AM18" i="46"/>
  <c r="S37" i="3" s="1"/>
  <c r="AK18" i="46"/>
  <c r="S18" i="3" s="1"/>
  <c r="AI18" i="46"/>
  <c r="AB18" i="46"/>
  <c r="Z18" i="46"/>
  <c r="W18" i="46"/>
  <c r="AA18" i="46" s="1"/>
  <c r="T18" i="46"/>
  <c r="Q18" i="46"/>
  <c r="N18" i="46"/>
  <c r="K18" i="46"/>
  <c r="O18" i="46" s="1"/>
  <c r="H18" i="46"/>
  <c r="E18" i="46"/>
  <c r="I18" i="46" s="1"/>
  <c r="AM17" i="46"/>
  <c r="S36" i="3" s="1"/>
  <c r="AK17" i="46"/>
  <c r="S17" i="3" s="1"/>
  <c r="AI17" i="46"/>
  <c r="AB17" i="46"/>
  <c r="Z17" i="46"/>
  <c r="W17" i="46"/>
  <c r="AA17" i="46" s="1"/>
  <c r="T17" i="46"/>
  <c r="Q17" i="46"/>
  <c r="U17" i="46" s="1"/>
  <c r="N17" i="46"/>
  <c r="K17" i="46"/>
  <c r="O17" i="46" s="1"/>
  <c r="H17" i="46"/>
  <c r="E17" i="46"/>
  <c r="AM16" i="46"/>
  <c r="S35" i="3" s="1"/>
  <c r="AK16" i="46"/>
  <c r="S16" i="3" s="1"/>
  <c r="AI16" i="46"/>
  <c r="AG16" i="46"/>
  <c r="AC16" i="46"/>
  <c r="AB16" i="46"/>
  <c r="AA16" i="46"/>
  <c r="Z16" i="46"/>
  <c r="T16" i="46"/>
  <c r="O16" i="46"/>
  <c r="N16" i="46"/>
  <c r="I16" i="46"/>
  <c r="H16" i="46"/>
  <c r="AM15" i="46"/>
  <c r="S34" i="3" s="1"/>
  <c r="AK15" i="46"/>
  <c r="S15" i="3" s="1"/>
  <c r="AI15" i="46"/>
  <c r="AB15" i="46"/>
  <c r="Z15" i="46"/>
  <c r="W15" i="46"/>
  <c r="T15" i="46"/>
  <c r="Q15" i="46"/>
  <c r="U15" i="46" s="1"/>
  <c r="N15" i="46"/>
  <c r="K15" i="46"/>
  <c r="O15" i="46" s="1"/>
  <c r="H15" i="46"/>
  <c r="E15" i="46"/>
  <c r="I15" i="46" s="1"/>
  <c r="AM14" i="46"/>
  <c r="S33" i="3" s="1"/>
  <c r="AK14" i="46"/>
  <c r="S14" i="3" s="1"/>
  <c r="AI14" i="46"/>
  <c r="AB14" i="46"/>
  <c r="Z14" i="46"/>
  <c r="W14" i="46"/>
  <c r="AA14" i="46" s="1"/>
  <c r="T14" i="46"/>
  <c r="Q14" i="46"/>
  <c r="U14" i="46" s="1"/>
  <c r="N14" i="46"/>
  <c r="K14" i="46"/>
  <c r="O14" i="46" s="1"/>
  <c r="H14" i="46"/>
  <c r="E14" i="46"/>
  <c r="AG14" i="46" s="1"/>
  <c r="AM13" i="46"/>
  <c r="S32" i="3" s="1"/>
  <c r="AK13" i="46"/>
  <c r="S13" i="3" s="1"/>
  <c r="AI13" i="46"/>
  <c r="AB13" i="46"/>
  <c r="Z13" i="46"/>
  <c r="W13" i="46"/>
  <c r="T13" i="46"/>
  <c r="Q13" i="46"/>
  <c r="U13" i="46" s="1"/>
  <c r="N13" i="46"/>
  <c r="K13" i="46"/>
  <c r="O13" i="46" s="1"/>
  <c r="H13" i="46"/>
  <c r="E13" i="46"/>
  <c r="I13" i="46" s="1"/>
  <c r="AM12" i="46"/>
  <c r="S31" i="3" s="1"/>
  <c r="AK12" i="46"/>
  <c r="S12" i="3" s="1"/>
  <c r="AI12" i="46"/>
  <c r="AB12" i="46"/>
  <c r="Z12" i="46"/>
  <c r="W12" i="46"/>
  <c r="AA12" i="46" s="1"/>
  <c r="T12" i="46"/>
  <c r="Q12" i="46"/>
  <c r="U12" i="46" s="1"/>
  <c r="N12" i="46"/>
  <c r="K12" i="46"/>
  <c r="O12" i="46" s="1"/>
  <c r="H12" i="46"/>
  <c r="E12" i="46"/>
  <c r="AM11" i="46"/>
  <c r="S30" i="3" s="1"/>
  <c r="AK11" i="46"/>
  <c r="S11" i="3" s="1"/>
  <c r="AI11" i="46"/>
  <c r="AB11" i="46"/>
  <c r="Z11" i="46"/>
  <c r="W11" i="46"/>
  <c r="T11" i="46"/>
  <c r="Q11" i="46"/>
  <c r="U11" i="46" s="1"/>
  <c r="N11" i="46"/>
  <c r="K11" i="46"/>
  <c r="O11" i="46" s="1"/>
  <c r="H11" i="46"/>
  <c r="E11" i="46"/>
  <c r="I11" i="46" s="1"/>
  <c r="AM10" i="46"/>
  <c r="S29" i="3" s="1"/>
  <c r="AK10" i="46"/>
  <c r="S10" i="3" s="1"/>
  <c r="AI10" i="46"/>
  <c r="AB10" i="46"/>
  <c r="Z10" i="46"/>
  <c r="W10" i="46"/>
  <c r="AA10" i="46" s="1"/>
  <c r="T10" i="46"/>
  <c r="Q10" i="46"/>
  <c r="U10" i="46" s="1"/>
  <c r="N10" i="46"/>
  <c r="K10" i="46"/>
  <c r="O10" i="46" s="1"/>
  <c r="H10" i="46"/>
  <c r="E10" i="46"/>
  <c r="AG10" i="46" s="1"/>
  <c r="AM9" i="46"/>
  <c r="S28" i="3" s="1"/>
  <c r="AK9" i="46"/>
  <c r="S9" i="3" s="1"/>
  <c r="AI9" i="46"/>
  <c r="AB9" i="46"/>
  <c r="Z9" i="46"/>
  <c r="W9" i="46"/>
  <c r="AA9" i="46" s="1"/>
  <c r="T9" i="46"/>
  <c r="Q9" i="46"/>
  <c r="U9" i="46" s="1"/>
  <c r="N9" i="46"/>
  <c r="K9" i="46"/>
  <c r="O9" i="46" s="1"/>
  <c r="H9" i="46"/>
  <c r="E9" i="46"/>
  <c r="AM8" i="46"/>
  <c r="S27" i="3" s="1"/>
  <c r="AK8" i="46"/>
  <c r="S8" i="3" s="1"/>
  <c r="AI8" i="46"/>
  <c r="AB8" i="46"/>
  <c r="Z8" i="46"/>
  <c r="W8" i="46"/>
  <c r="T8" i="46"/>
  <c r="Q8" i="46"/>
  <c r="N8" i="46"/>
  <c r="K8" i="46"/>
  <c r="O8" i="46" s="1"/>
  <c r="H8" i="46"/>
  <c r="E8" i="46"/>
  <c r="AA37" i="45"/>
  <c r="U37" i="45"/>
  <c r="I37" i="45"/>
  <c r="Y23" i="45"/>
  <c r="X23" i="45"/>
  <c r="V23" i="45"/>
  <c r="S23" i="45"/>
  <c r="R23" i="45"/>
  <c r="P23" i="45"/>
  <c r="M23" i="45"/>
  <c r="L23" i="45"/>
  <c r="J23" i="45"/>
  <c r="G23" i="45"/>
  <c r="F23" i="45"/>
  <c r="D23" i="45"/>
  <c r="AM22" i="45"/>
  <c r="R41" i="3" s="1"/>
  <c r="AK22" i="45"/>
  <c r="R22" i="3" s="1"/>
  <c r="AI22" i="45"/>
  <c r="AG22" i="45"/>
  <c r="AC22" i="45"/>
  <c r="AA22" i="45"/>
  <c r="Z22" i="45"/>
  <c r="U22" i="45"/>
  <c r="T22" i="45"/>
  <c r="O22" i="45"/>
  <c r="N22" i="45"/>
  <c r="I22" i="45"/>
  <c r="H22" i="45"/>
  <c r="AM21" i="45"/>
  <c r="R40" i="3" s="1"/>
  <c r="AK21" i="45"/>
  <c r="R21" i="3" s="1"/>
  <c r="AI21" i="45"/>
  <c r="AG21" i="45"/>
  <c r="AC21" i="45"/>
  <c r="AA21" i="45"/>
  <c r="Z21" i="45"/>
  <c r="U21" i="45"/>
  <c r="T21" i="45"/>
  <c r="O21" i="45"/>
  <c r="N21" i="45"/>
  <c r="I21" i="45"/>
  <c r="H21" i="45"/>
  <c r="AM20" i="45"/>
  <c r="R39" i="3" s="1"/>
  <c r="AK20" i="45"/>
  <c r="R20" i="3" s="1"/>
  <c r="AI20" i="45"/>
  <c r="AG20" i="45"/>
  <c r="AC20" i="45"/>
  <c r="AA20" i="45"/>
  <c r="Z20" i="45"/>
  <c r="U20" i="45"/>
  <c r="T20" i="45"/>
  <c r="O20" i="45"/>
  <c r="N20" i="45"/>
  <c r="I20" i="45"/>
  <c r="H20" i="45"/>
  <c r="AM19" i="45"/>
  <c r="R38" i="3" s="1"/>
  <c r="AK19" i="45"/>
  <c r="R19" i="3" s="1"/>
  <c r="AI19" i="45"/>
  <c r="Z19" i="45"/>
  <c r="W19" i="45"/>
  <c r="AA19" i="45" s="1"/>
  <c r="T19" i="45"/>
  <c r="Q19" i="45"/>
  <c r="U19" i="45" s="1"/>
  <c r="N19" i="45"/>
  <c r="K19" i="45"/>
  <c r="O19" i="45" s="1"/>
  <c r="H19" i="45"/>
  <c r="E19" i="45"/>
  <c r="AM18" i="45"/>
  <c r="R37" i="3" s="1"/>
  <c r="AK18" i="45"/>
  <c r="R18" i="3" s="1"/>
  <c r="AI18" i="45"/>
  <c r="Z18" i="45"/>
  <c r="W18" i="45"/>
  <c r="AA18" i="45" s="1"/>
  <c r="T18" i="45"/>
  <c r="Q18" i="45"/>
  <c r="N18" i="45"/>
  <c r="K18" i="45"/>
  <c r="O18" i="45" s="1"/>
  <c r="H18" i="45"/>
  <c r="E18" i="45"/>
  <c r="I18" i="45" s="1"/>
  <c r="AM17" i="45"/>
  <c r="R36" i="3" s="1"/>
  <c r="AK17" i="45"/>
  <c r="R17" i="3" s="1"/>
  <c r="AI17" i="45"/>
  <c r="Z17" i="45"/>
  <c r="W17" i="45"/>
  <c r="AA17" i="45" s="1"/>
  <c r="T17" i="45"/>
  <c r="Q17" i="45"/>
  <c r="U17" i="45" s="1"/>
  <c r="N17" i="45"/>
  <c r="K17" i="45"/>
  <c r="O17" i="45" s="1"/>
  <c r="H17" i="45"/>
  <c r="E17" i="45"/>
  <c r="AM16" i="45"/>
  <c r="R35" i="3" s="1"/>
  <c r="AK16" i="45"/>
  <c r="R16" i="3" s="1"/>
  <c r="AI16" i="45"/>
  <c r="AG16" i="45"/>
  <c r="AC16" i="45"/>
  <c r="AA16" i="45"/>
  <c r="Z16" i="45"/>
  <c r="T16" i="45"/>
  <c r="O16" i="45"/>
  <c r="N16" i="45"/>
  <c r="I16" i="45"/>
  <c r="H16" i="45"/>
  <c r="AM15" i="45"/>
  <c r="R34" i="3" s="1"/>
  <c r="AK15" i="45"/>
  <c r="R15" i="3" s="1"/>
  <c r="AI15" i="45"/>
  <c r="Z15" i="45"/>
  <c r="W15" i="45"/>
  <c r="AA15" i="45" s="1"/>
  <c r="T15" i="45"/>
  <c r="Q15" i="45"/>
  <c r="U15" i="45" s="1"/>
  <c r="N15" i="45"/>
  <c r="K15" i="45"/>
  <c r="O15" i="45" s="1"/>
  <c r="H15" i="45"/>
  <c r="E15" i="45"/>
  <c r="I15" i="45" s="1"/>
  <c r="AM14" i="45"/>
  <c r="R33" i="3" s="1"/>
  <c r="AK14" i="45"/>
  <c r="R14" i="3" s="1"/>
  <c r="AI14" i="45"/>
  <c r="Z14" i="45"/>
  <c r="W14" i="45"/>
  <c r="AA14" i="45" s="1"/>
  <c r="T14" i="45"/>
  <c r="Q14" i="45"/>
  <c r="U14" i="45" s="1"/>
  <c r="N14" i="45"/>
  <c r="K14" i="45"/>
  <c r="O14" i="45" s="1"/>
  <c r="H14" i="45"/>
  <c r="E14" i="45"/>
  <c r="AM13" i="45"/>
  <c r="R32" i="3" s="1"/>
  <c r="AK13" i="45"/>
  <c r="R13" i="3" s="1"/>
  <c r="AI13" i="45"/>
  <c r="Z13" i="45"/>
  <c r="W13" i="45"/>
  <c r="T13" i="45"/>
  <c r="Q13" i="45"/>
  <c r="U13" i="45" s="1"/>
  <c r="N13" i="45"/>
  <c r="K13" i="45"/>
  <c r="O13" i="45" s="1"/>
  <c r="H13" i="45"/>
  <c r="E13" i="45"/>
  <c r="I13" i="45" s="1"/>
  <c r="AM12" i="45"/>
  <c r="R31" i="3" s="1"/>
  <c r="AK12" i="45"/>
  <c r="R12" i="3" s="1"/>
  <c r="AI12" i="45"/>
  <c r="Z12" i="45"/>
  <c r="W12" i="45"/>
  <c r="AA12" i="45" s="1"/>
  <c r="T12" i="45"/>
  <c r="Q12" i="45"/>
  <c r="U12" i="45" s="1"/>
  <c r="N12" i="45"/>
  <c r="K12" i="45"/>
  <c r="O12" i="45" s="1"/>
  <c r="H12" i="45"/>
  <c r="E12" i="45"/>
  <c r="AM11" i="45"/>
  <c r="R30" i="3" s="1"/>
  <c r="AK11" i="45"/>
  <c r="R11" i="3" s="1"/>
  <c r="AI11" i="45"/>
  <c r="Z11" i="45"/>
  <c r="W11" i="45"/>
  <c r="AA11" i="45" s="1"/>
  <c r="T11" i="45"/>
  <c r="Q11" i="45"/>
  <c r="U11" i="45" s="1"/>
  <c r="N11" i="45"/>
  <c r="K11" i="45"/>
  <c r="O11" i="45" s="1"/>
  <c r="H11" i="45"/>
  <c r="E11" i="45"/>
  <c r="I11" i="45" s="1"/>
  <c r="AM10" i="45"/>
  <c r="R29" i="3" s="1"/>
  <c r="AK10" i="45"/>
  <c r="R10" i="3" s="1"/>
  <c r="AI10" i="45"/>
  <c r="Z10" i="45"/>
  <c r="W10" i="45"/>
  <c r="AA10" i="45" s="1"/>
  <c r="T10" i="45"/>
  <c r="Q10" i="45"/>
  <c r="U10" i="45" s="1"/>
  <c r="N10" i="45"/>
  <c r="K10" i="45"/>
  <c r="O10" i="45" s="1"/>
  <c r="H10" i="45"/>
  <c r="E10" i="45"/>
  <c r="AM9" i="45"/>
  <c r="R28" i="3" s="1"/>
  <c r="AK9" i="45"/>
  <c r="R9" i="3" s="1"/>
  <c r="AI9" i="45"/>
  <c r="Z9" i="45"/>
  <c r="W9" i="45"/>
  <c r="AA9" i="45" s="1"/>
  <c r="T9" i="45"/>
  <c r="Q9" i="45"/>
  <c r="U9" i="45" s="1"/>
  <c r="N9" i="45"/>
  <c r="K9" i="45"/>
  <c r="O9" i="45" s="1"/>
  <c r="H9" i="45"/>
  <c r="E9" i="45"/>
  <c r="AM8" i="45"/>
  <c r="R27" i="3" s="1"/>
  <c r="AK8" i="45"/>
  <c r="R8" i="3" s="1"/>
  <c r="AI8" i="45"/>
  <c r="Z8" i="45"/>
  <c r="W8" i="45"/>
  <c r="AA8" i="45" s="1"/>
  <c r="T8" i="45"/>
  <c r="Q8" i="45"/>
  <c r="N8" i="45"/>
  <c r="K8" i="45"/>
  <c r="O8" i="45" s="1"/>
  <c r="H8" i="45"/>
  <c r="E8" i="45"/>
  <c r="E23" i="45" s="1"/>
  <c r="E23" i="55" l="1"/>
  <c r="AC37" i="55"/>
  <c r="AG17" i="55"/>
  <c r="AG9" i="55"/>
  <c r="AG19" i="55"/>
  <c r="E23" i="54"/>
  <c r="E23" i="53"/>
  <c r="Q23" i="53"/>
  <c r="AG17" i="53"/>
  <c r="E23" i="52"/>
  <c r="AG9" i="50"/>
  <c r="I13" i="50"/>
  <c r="AC13" i="50"/>
  <c r="AG12" i="50"/>
  <c r="AG17" i="50"/>
  <c r="E23" i="49"/>
  <c r="AG14" i="49"/>
  <c r="AG9" i="48"/>
  <c r="E23" i="48"/>
  <c r="Q23" i="48"/>
  <c r="AC19" i="47"/>
  <c r="E23" i="47"/>
  <c r="Q23" i="47"/>
  <c r="AG17" i="46"/>
  <c r="AG14" i="45"/>
  <c r="S24" i="54"/>
  <c r="AG9" i="52"/>
  <c r="AG17" i="51"/>
  <c r="AG9" i="51"/>
  <c r="AG9" i="46"/>
  <c r="O23" i="54"/>
  <c r="AC37" i="51"/>
  <c r="AG19" i="51"/>
  <c r="AC37" i="45"/>
  <c r="AG17" i="48"/>
  <c r="AG12" i="48"/>
  <c r="AG12" i="45"/>
  <c r="AC11" i="46"/>
  <c r="AC18" i="47"/>
  <c r="I8" i="48"/>
  <c r="AG15" i="48"/>
  <c r="I8" i="49"/>
  <c r="K23" i="50"/>
  <c r="AG14" i="51"/>
  <c r="AG13" i="45"/>
  <c r="AG17" i="45"/>
  <c r="AC18" i="45"/>
  <c r="AC19" i="45"/>
  <c r="E23" i="46"/>
  <c r="AC18" i="46"/>
  <c r="AG9" i="47"/>
  <c r="K23" i="47"/>
  <c r="AG12" i="47"/>
  <c r="AG14" i="47"/>
  <c r="AG13" i="49"/>
  <c r="AG15" i="49"/>
  <c r="AC18" i="49"/>
  <c r="AC19" i="49"/>
  <c r="AG15" i="50"/>
  <c r="AC18" i="50"/>
  <c r="K23" i="52"/>
  <c r="AG11" i="52"/>
  <c r="AG15" i="52"/>
  <c r="I8" i="53"/>
  <c r="AG8" i="53"/>
  <c r="I13" i="53"/>
  <c r="AG13" i="53"/>
  <c r="AG14" i="53"/>
  <c r="AG9" i="54"/>
  <c r="AG10" i="54"/>
  <c r="AG12" i="54"/>
  <c r="AG15" i="54"/>
  <c r="AC17" i="54"/>
  <c r="AC18" i="54"/>
  <c r="AG12" i="55"/>
  <c r="AG14" i="55"/>
  <c r="N23" i="55"/>
  <c r="AG9" i="58"/>
  <c r="AG11" i="58"/>
  <c r="AG13" i="58"/>
  <c r="AG15" i="58"/>
  <c r="AG17" i="58"/>
  <c r="N26" i="58"/>
  <c r="I8" i="52"/>
  <c r="AG8" i="52"/>
  <c r="AG14" i="52"/>
  <c r="AC18" i="53"/>
  <c r="I8" i="54"/>
  <c r="AC8" i="54"/>
  <c r="AC11" i="54"/>
  <c r="N23" i="54"/>
  <c r="K23" i="55"/>
  <c r="AG11" i="55"/>
  <c r="AC13" i="55"/>
  <c r="AG15" i="55"/>
  <c r="AC18" i="55"/>
  <c r="I8" i="58"/>
  <c r="AC8" i="58"/>
  <c r="AM26" i="58"/>
  <c r="AC27" i="3"/>
  <c r="AC10" i="58"/>
  <c r="AC12" i="58"/>
  <c r="AC14" i="58"/>
  <c r="AC20" i="58"/>
  <c r="H23" i="52"/>
  <c r="I8" i="47"/>
  <c r="I8" i="45"/>
  <c r="AG10" i="55"/>
  <c r="AM23" i="54"/>
  <c r="AG12" i="53"/>
  <c r="W23" i="50"/>
  <c r="AG14" i="48"/>
  <c r="AG10" i="47"/>
  <c r="W23" i="47"/>
  <c r="I8" i="46"/>
  <c r="AG12" i="46"/>
  <c r="Z26" i="58"/>
  <c r="T26" i="58"/>
  <c r="R27" i="58"/>
  <c r="S27" i="58"/>
  <c r="AC40" i="58"/>
  <c r="H26" i="58"/>
  <c r="AK26" i="58"/>
  <c r="AO26" i="58" s="1"/>
  <c r="W23" i="55"/>
  <c r="Z23" i="55"/>
  <c r="Q23" i="55"/>
  <c r="H23" i="55"/>
  <c r="S24" i="55"/>
  <c r="AM23" i="55"/>
  <c r="AB27" i="3"/>
  <c r="I8" i="55"/>
  <c r="AG10" i="53"/>
  <c r="AC18" i="52"/>
  <c r="AC37" i="50"/>
  <c r="Z23" i="50"/>
  <c r="AG11" i="50"/>
  <c r="E23" i="50"/>
  <c r="H23" i="50"/>
  <c r="W23" i="49"/>
  <c r="AM23" i="50"/>
  <c r="S24" i="50"/>
  <c r="T23" i="55"/>
  <c r="AG12" i="52"/>
  <c r="AG10" i="52"/>
  <c r="AM23" i="52"/>
  <c r="AG19" i="52"/>
  <c r="AC13" i="52"/>
  <c r="AG17" i="52"/>
  <c r="AC11" i="51"/>
  <c r="AC18" i="51"/>
  <c r="Q23" i="50"/>
  <c r="AG19" i="50"/>
  <c r="T23" i="50"/>
  <c r="H23" i="47"/>
  <c r="AM23" i="47"/>
  <c r="AG10" i="48"/>
  <c r="AG11" i="48"/>
  <c r="AC18" i="48"/>
  <c r="R24" i="45"/>
  <c r="H23" i="46"/>
  <c r="AC8" i="46"/>
  <c r="AG13" i="46"/>
  <c r="AG15" i="46"/>
  <c r="AG9" i="45"/>
  <c r="Q23" i="54"/>
  <c r="AC19" i="54"/>
  <c r="R24" i="54"/>
  <c r="T23" i="54"/>
  <c r="Z23" i="54"/>
  <c r="AC37" i="54"/>
  <c r="AK23" i="55"/>
  <c r="R24" i="55"/>
  <c r="AM23" i="53"/>
  <c r="Z23" i="53"/>
  <c r="AC37" i="53"/>
  <c r="N23" i="53"/>
  <c r="H23" i="54"/>
  <c r="AK23" i="54"/>
  <c r="Q23" i="52"/>
  <c r="T23" i="52"/>
  <c r="N23" i="52"/>
  <c r="Z23" i="52"/>
  <c r="S24" i="52"/>
  <c r="R24" i="52"/>
  <c r="AC37" i="52"/>
  <c r="H23" i="53"/>
  <c r="S24" i="53"/>
  <c r="T23" i="53"/>
  <c r="AK23" i="53"/>
  <c r="R24" i="53"/>
  <c r="Q23" i="51"/>
  <c r="T23" i="51"/>
  <c r="AG10" i="51"/>
  <c r="Z23" i="51"/>
  <c r="AG12" i="51"/>
  <c r="S24" i="51"/>
  <c r="O23" i="51"/>
  <c r="R24" i="51"/>
  <c r="N23" i="51"/>
  <c r="AK23" i="52"/>
  <c r="N23" i="50"/>
  <c r="R24" i="50"/>
  <c r="AK23" i="50"/>
  <c r="T23" i="49"/>
  <c r="Q23" i="49"/>
  <c r="N23" i="49"/>
  <c r="AM23" i="49"/>
  <c r="AG10" i="49"/>
  <c r="S24" i="49"/>
  <c r="R24" i="49"/>
  <c r="Z23" i="49"/>
  <c r="AC37" i="49"/>
  <c r="H23" i="51"/>
  <c r="AM23" i="51"/>
  <c r="E23" i="51"/>
  <c r="AK23" i="51"/>
  <c r="AC8" i="51"/>
  <c r="Z23" i="48"/>
  <c r="T23" i="48"/>
  <c r="AC37" i="48"/>
  <c r="AG19" i="48"/>
  <c r="AM23" i="48"/>
  <c r="O23" i="48"/>
  <c r="S24" i="48"/>
  <c r="R24" i="48"/>
  <c r="N23" i="48"/>
  <c r="H23" i="48"/>
  <c r="AK23" i="48"/>
  <c r="H23" i="49"/>
  <c r="AK23" i="49"/>
  <c r="Z23" i="47"/>
  <c r="T23" i="47"/>
  <c r="R24" i="47"/>
  <c r="S24" i="47"/>
  <c r="N23" i="47"/>
  <c r="AC37" i="47"/>
  <c r="S24" i="46"/>
  <c r="Z23" i="46"/>
  <c r="T23" i="46"/>
  <c r="Q23" i="46"/>
  <c r="AC37" i="46"/>
  <c r="O23" i="46"/>
  <c r="AM23" i="46"/>
  <c r="AG19" i="46"/>
  <c r="N23" i="46"/>
  <c r="R24" i="46"/>
  <c r="AK23" i="47"/>
  <c r="AG10" i="45"/>
  <c r="Z23" i="45"/>
  <c r="Q23" i="45"/>
  <c r="T23" i="45"/>
  <c r="AM23" i="45"/>
  <c r="O23" i="45"/>
  <c r="S24" i="45"/>
  <c r="N23" i="45"/>
  <c r="AK23" i="46"/>
  <c r="H23" i="45"/>
  <c r="AK23" i="45"/>
  <c r="AC16" i="58"/>
  <c r="AG8" i="58"/>
  <c r="AG10" i="58"/>
  <c r="AG12" i="58"/>
  <c r="AG14" i="58"/>
  <c r="AG16" i="58"/>
  <c r="AC21" i="58"/>
  <c r="K26" i="58"/>
  <c r="W26" i="58"/>
  <c r="AA8" i="58"/>
  <c r="AC9" i="58"/>
  <c r="AA10" i="58"/>
  <c r="AC11" i="58"/>
  <c r="AA12" i="58"/>
  <c r="AC13" i="58"/>
  <c r="AA14" i="58"/>
  <c r="AC15" i="58"/>
  <c r="AC17" i="58"/>
  <c r="I19" i="58"/>
  <c r="AG19" i="58"/>
  <c r="U20" i="58"/>
  <c r="I21" i="58"/>
  <c r="AG20" i="58"/>
  <c r="U8" i="58"/>
  <c r="I9" i="58"/>
  <c r="I11" i="58"/>
  <c r="I13" i="58"/>
  <c r="I15" i="58"/>
  <c r="I17" i="58"/>
  <c r="AC11" i="55"/>
  <c r="AC15" i="55"/>
  <c r="AG13" i="55"/>
  <c r="AC17" i="55"/>
  <c r="AC19" i="55"/>
  <c r="AA8" i="55"/>
  <c r="O9" i="55"/>
  <c r="O23" i="55" s="1"/>
  <c r="AC9" i="55"/>
  <c r="AC10" i="55"/>
  <c r="AA11" i="55"/>
  <c r="AC12" i="55"/>
  <c r="AA13" i="55"/>
  <c r="AC14" i="55"/>
  <c r="AA15" i="55"/>
  <c r="I17" i="55"/>
  <c r="U18" i="55"/>
  <c r="I19" i="55"/>
  <c r="AC8" i="55"/>
  <c r="AG18" i="55"/>
  <c r="AG8" i="55"/>
  <c r="U8" i="55"/>
  <c r="I9" i="55"/>
  <c r="I10" i="55"/>
  <c r="I12" i="55"/>
  <c r="I14" i="55"/>
  <c r="AC13" i="54"/>
  <c r="AC15" i="54"/>
  <c r="AG18" i="54"/>
  <c r="AG8" i="54"/>
  <c r="AG11" i="54"/>
  <c r="AG13" i="54"/>
  <c r="K23" i="54"/>
  <c r="W23" i="54"/>
  <c r="AA8" i="54"/>
  <c r="AC9" i="54"/>
  <c r="AC10" i="54"/>
  <c r="AA11" i="54"/>
  <c r="AC12" i="54"/>
  <c r="AC14" i="54"/>
  <c r="AA15" i="54"/>
  <c r="I17" i="54"/>
  <c r="AG17" i="54"/>
  <c r="U18" i="54"/>
  <c r="I19" i="54"/>
  <c r="AG19" i="54"/>
  <c r="U8" i="54"/>
  <c r="I9" i="54"/>
  <c r="I10" i="54"/>
  <c r="I12" i="54"/>
  <c r="I14" i="54"/>
  <c r="O23" i="53"/>
  <c r="AC8" i="53"/>
  <c r="AC11" i="53"/>
  <c r="AC15" i="53"/>
  <c r="AG18" i="53"/>
  <c r="AG11" i="53"/>
  <c r="AG15" i="53"/>
  <c r="AC17" i="53"/>
  <c r="K23" i="53"/>
  <c r="W23" i="53"/>
  <c r="AA8" i="53"/>
  <c r="AC9" i="53"/>
  <c r="AC10" i="53"/>
  <c r="AC12" i="53"/>
  <c r="AA13" i="53"/>
  <c r="AC14" i="53"/>
  <c r="I17" i="53"/>
  <c r="U18" i="53"/>
  <c r="I19" i="53"/>
  <c r="AG19" i="53"/>
  <c r="U8" i="53"/>
  <c r="I9" i="53"/>
  <c r="I10" i="53"/>
  <c r="I12" i="53"/>
  <c r="I14" i="53"/>
  <c r="AC8" i="52"/>
  <c r="AC11" i="52"/>
  <c r="AC15" i="52"/>
  <c r="AG13" i="52"/>
  <c r="AC17" i="52"/>
  <c r="AC19" i="52"/>
  <c r="W23" i="52"/>
  <c r="AA8" i="52"/>
  <c r="O9" i="52"/>
  <c r="O23" i="52" s="1"/>
  <c r="AC9" i="52"/>
  <c r="AC10" i="52"/>
  <c r="AA11" i="52"/>
  <c r="AA13" i="52"/>
  <c r="AC14" i="52"/>
  <c r="AA15" i="52"/>
  <c r="I17" i="52"/>
  <c r="U18" i="52"/>
  <c r="I19" i="52"/>
  <c r="AG18" i="52"/>
  <c r="U8" i="52"/>
  <c r="I9" i="52"/>
  <c r="I10" i="52"/>
  <c r="I12" i="52"/>
  <c r="I14" i="52"/>
  <c r="AC13" i="51"/>
  <c r="AC15" i="51"/>
  <c r="AG18" i="51"/>
  <c r="AG8" i="51"/>
  <c r="AG11" i="51"/>
  <c r="AG13" i="51"/>
  <c r="AG15" i="51"/>
  <c r="AC17" i="51"/>
  <c r="AC19" i="51"/>
  <c r="K23" i="51"/>
  <c r="W23" i="51"/>
  <c r="AA8" i="51"/>
  <c r="AC9" i="51"/>
  <c r="AC10" i="51"/>
  <c r="AA11" i="51"/>
  <c r="AC12" i="51"/>
  <c r="AC14" i="51"/>
  <c r="I17" i="51"/>
  <c r="U18" i="51"/>
  <c r="I19" i="51"/>
  <c r="U8" i="51"/>
  <c r="I9" i="51"/>
  <c r="I10" i="51"/>
  <c r="I12" i="51"/>
  <c r="I14" i="51"/>
  <c r="AC8" i="50"/>
  <c r="AG8" i="50"/>
  <c r="AG13" i="50"/>
  <c r="AC17" i="50"/>
  <c r="AC19" i="50"/>
  <c r="AA8" i="50"/>
  <c r="O9" i="50"/>
  <c r="O23" i="50" s="1"/>
  <c r="AC9" i="50"/>
  <c r="AC10" i="50"/>
  <c r="AA11" i="50"/>
  <c r="AC12" i="50"/>
  <c r="AA13" i="50"/>
  <c r="AC14" i="50"/>
  <c r="AA15" i="50"/>
  <c r="I17" i="50"/>
  <c r="U18" i="50"/>
  <c r="I19" i="50"/>
  <c r="AC11" i="50"/>
  <c r="AC15" i="50"/>
  <c r="AG18" i="50"/>
  <c r="U8" i="50"/>
  <c r="I9" i="50"/>
  <c r="I10" i="50"/>
  <c r="I12" i="50"/>
  <c r="I14" i="50"/>
  <c r="O23" i="49"/>
  <c r="AC11" i="49"/>
  <c r="AC13" i="49"/>
  <c r="AC15" i="49"/>
  <c r="AG18" i="49"/>
  <c r="AG8" i="49"/>
  <c r="AG11" i="49"/>
  <c r="K23" i="49"/>
  <c r="AA8" i="49"/>
  <c r="AC9" i="49"/>
  <c r="AC10" i="49"/>
  <c r="AC12" i="49"/>
  <c r="AA13" i="49"/>
  <c r="AC14" i="49"/>
  <c r="AA15" i="49"/>
  <c r="I17" i="49"/>
  <c r="AG17" i="49"/>
  <c r="U18" i="49"/>
  <c r="I19" i="49"/>
  <c r="AG19" i="49"/>
  <c r="AC8" i="49"/>
  <c r="U8" i="49"/>
  <c r="U23" i="49" s="1"/>
  <c r="I9" i="49"/>
  <c r="I10" i="49"/>
  <c r="I12" i="49"/>
  <c r="I14" i="49"/>
  <c r="AC8" i="48"/>
  <c r="AC13" i="48"/>
  <c r="AG8" i="48"/>
  <c r="AG13" i="48"/>
  <c r="AC17" i="48"/>
  <c r="AC19" i="48"/>
  <c r="K23" i="48"/>
  <c r="W23" i="48"/>
  <c r="AC9" i="48"/>
  <c r="AC10" i="48"/>
  <c r="AA11" i="48"/>
  <c r="AC12" i="48"/>
  <c r="AC14" i="48"/>
  <c r="AA15" i="48"/>
  <c r="I17" i="48"/>
  <c r="U18" i="48"/>
  <c r="I19" i="48"/>
  <c r="AC11" i="48"/>
  <c r="AC15" i="48"/>
  <c r="AG18" i="48"/>
  <c r="U8" i="48"/>
  <c r="I9" i="48"/>
  <c r="I10" i="48"/>
  <c r="I12" i="48"/>
  <c r="I14" i="48"/>
  <c r="AC11" i="47"/>
  <c r="AC13" i="47"/>
  <c r="AC15" i="47"/>
  <c r="AG11" i="47"/>
  <c r="AG13" i="47"/>
  <c r="AG15" i="47"/>
  <c r="AC17" i="47"/>
  <c r="AA8" i="47"/>
  <c r="O9" i="47"/>
  <c r="O23" i="47" s="1"/>
  <c r="AC9" i="47"/>
  <c r="AC10" i="47"/>
  <c r="AC12" i="47"/>
  <c r="AC14" i="47"/>
  <c r="I17" i="47"/>
  <c r="U18" i="47"/>
  <c r="I19" i="47"/>
  <c r="AG19" i="47"/>
  <c r="AC8" i="47"/>
  <c r="AG18" i="47"/>
  <c r="AG8" i="47"/>
  <c r="U8" i="47"/>
  <c r="I9" i="47"/>
  <c r="I10" i="47"/>
  <c r="I12" i="47"/>
  <c r="I14" i="47"/>
  <c r="AG8" i="46"/>
  <c r="AG11" i="46"/>
  <c r="AC17" i="46"/>
  <c r="AC19" i="46"/>
  <c r="K23" i="46"/>
  <c r="W23" i="46"/>
  <c r="AA8" i="46"/>
  <c r="AC9" i="46"/>
  <c r="AC10" i="46"/>
  <c r="AA11" i="46"/>
  <c r="AC12" i="46"/>
  <c r="AA13" i="46"/>
  <c r="AC14" i="46"/>
  <c r="AA15" i="46"/>
  <c r="I17" i="46"/>
  <c r="U18" i="46"/>
  <c r="I19" i="46"/>
  <c r="AC13" i="46"/>
  <c r="AC15" i="46"/>
  <c r="AG18" i="46"/>
  <c r="U8" i="46"/>
  <c r="I9" i="46"/>
  <c r="I10" i="46"/>
  <c r="I12" i="46"/>
  <c r="I14" i="46"/>
  <c r="AC8" i="45"/>
  <c r="AC11" i="45"/>
  <c r="AC13" i="45"/>
  <c r="AC15" i="45"/>
  <c r="AG18" i="45"/>
  <c r="AG8" i="45"/>
  <c r="AG11" i="45"/>
  <c r="AG15" i="45"/>
  <c r="AC17" i="45"/>
  <c r="K23" i="45"/>
  <c r="W23" i="45"/>
  <c r="AC9" i="45"/>
  <c r="AC10" i="45"/>
  <c r="AC12" i="45"/>
  <c r="AA13" i="45"/>
  <c r="AA23" i="45" s="1"/>
  <c r="AC14" i="45"/>
  <c r="I17" i="45"/>
  <c r="U18" i="45"/>
  <c r="I19" i="45"/>
  <c r="AG19" i="45"/>
  <c r="U8" i="45"/>
  <c r="I9" i="45"/>
  <c r="I10" i="45"/>
  <c r="I12" i="45"/>
  <c r="I14" i="45"/>
  <c r="U23" i="51" l="1"/>
  <c r="AO23" i="47"/>
  <c r="U23" i="48"/>
  <c r="AO23" i="52"/>
  <c r="AO23" i="54"/>
  <c r="AO23" i="50"/>
  <c r="AA23" i="47"/>
  <c r="I26" i="58"/>
  <c r="AC26" i="58"/>
  <c r="AO23" i="55"/>
  <c r="I23" i="55"/>
  <c r="U23" i="50"/>
  <c r="I23" i="50"/>
  <c r="U23" i="55"/>
  <c r="AC23" i="55"/>
  <c r="U23" i="54"/>
  <c r="AO23" i="53"/>
  <c r="U23" i="52"/>
  <c r="I23" i="51"/>
  <c r="I23" i="49"/>
  <c r="U23" i="47"/>
  <c r="I23" i="47"/>
  <c r="I23" i="46"/>
  <c r="U23" i="46"/>
  <c r="AO23" i="46"/>
  <c r="U23" i="45"/>
  <c r="I23" i="45"/>
  <c r="I23" i="54"/>
  <c r="AC23" i="54"/>
  <c r="I23" i="53"/>
  <c r="AO23" i="51"/>
  <c r="I23" i="52"/>
  <c r="AO23" i="49"/>
  <c r="AC23" i="51"/>
  <c r="AA23" i="48"/>
  <c r="AO23" i="48"/>
  <c r="I23" i="48"/>
  <c r="AO23" i="45"/>
  <c r="AC23" i="46"/>
  <c r="U26" i="58"/>
  <c r="AA26" i="58"/>
  <c r="AA23" i="55"/>
  <c r="AA23" i="54"/>
  <c r="AC23" i="53"/>
  <c r="U23" i="53"/>
  <c r="AA23" i="53"/>
  <c r="AA23" i="52"/>
  <c r="AC23" i="52"/>
  <c r="AA23" i="51"/>
  <c r="AC23" i="50"/>
  <c r="AA23" i="50"/>
  <c r="AC23" i="49"/>
  <c r="AA23" i="49"/>
  <c r="AC23" i="48"/>
  <c r="AC23" i="47"/>
  <c r="AA23" i="46"/>
  <c r="AC23" i="45"/>
  <c r="AC24" i="49" l="1"/>
  <c r="AC38" i="49" s="1"/>
  <c r="AC24" i="55"/>
  <c r="AC38" i="55" s="1"/>
  <c r="AC24" i="50"/>
  <c r="AC38" i="50" s="1"/>
  <c r="AC24" i="51"/>
  <c r="AC38" i="51" s="1"/>
  <c r="AC24" i="47"/>
  <c r="AC38" i="47" s="1"/>
  <c r="AC24" i="45"/>
  <c r="AC38" i="45" s="1"/>
  <c r="AC24" i="46"/>
  <c r="AC38" i="46" s="1"/>
  <c r="AC24" i="54"/>
  <c r="AC38" i="54" s="1"/>
  <c r="AC24" i="53"/>
  <c r="AC38" i="53" s="1"/>
  <c r="AC24" i="52"/>
  <c r="AC38" i="52" s="1"/>
  <c r="AC24" i="48"/>
  <c r="AC38" i="48" s="1"/>
  <c r="AC27" i="58"/>
  <c r="AC41" i="58" s="1"/>
  <c r="K40" i="3"/>
  <c r="K41" i="3"/>
  <c r="L28" i="3"/>
  <c r="L29" i="3"/>
  <c r="L30" i="3"/>
  <c r="L31" i="3"/>
  <c r="L32" i="3"/>
  <c r="L33" i="3"/>
  <c r="L34" i="3"/>
  <c r="L35" i="3"/>
  <c r="L36" i="3"/>
  <c r="L37" i="3"/>
  <c r="L39" i="3"/>
  <c r="L40" i="3"/>
  <c r="L41" i="3"/>
  <c r="L27" i="3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8" i="2"/>
  <c r="P8" i="2"/>
  <c r="O8" i="2"/>
  <c r="AA37" i="44"/>
  <c r="U37" i="44"/>
  <c r="O37" i="44"/>
  <c r="I37" i="44"/>
  <c r="AE23" i="44"/>
  <c r="Y23" i="44"/>
  <c r="X23" i="44"/>
  <c r="V23" i="44"/>
  <c r="S23" i="44"/>
  <c r="R23" i="44"/>
  <c r="P23" i="44"/>
  <c r="M23" i="44"/>
  <c r="L23" i="44"/>
  <c r="J23" i="44"/>
  <c r="G23" i="44"/>
  <c r="F23" i="44"/>
  <c r="D23" i="44"/>
  <c r="AM22" i="44"/>
  <c r="Q41" i="3" s="1"/>
  <c r="AK22" i="44"/>
  <c r="Q22" i="3" s="1"/>
  <c r="AI22" i="44"/>
  <c r="AG22" i="44"/>
  <c r="AC22" i="44"/>
  <c r="AA22" i="44"/>
  <c r="Z22" i="44"/>
  <c r="U22" i="44"/>
  <c r="T22" i="44"/>
  <c r="O22" i="44"/>
  <c r="N22" i="44"/>
  <c r="I22" i="44"/>
  <c r="H22" i="44"/>
  <c r="AM21" i="44"/>
  <c r="Q40" i="3" s="1"/>
  <c r="AK21" i="44"/>
  <c r="Q21" i="3" s="1"/>
  <c r="AI21" i="44"/>
  <c r="AG21" i="44"/>
  <c r="AC21" i="44"/>
  <c r="AA21" i="44"/>
  <c r="Z21" i="44"/>
  <c r="U21" i="44"/>
  <c r="T21" i="44"/>
  <c r="O21" i="44"/>
  <c r="N21" i="44"/>
  <c r="I21" i="44"/>
  <c r="H21" i="44"/>
  <c r="AM20" i="44"/>
  <c r="Q39" i="3" s="1"/>
  <c r="AK20" i="44"/>
  <c r="Q20" i="3" s="1"/>
  <c r="AI20" i="44"/>
  <c r="AG20" i="44"/>
  <c r="AC20" i="44"/>
  <c r="AA20" i="44"/>
  <c r="Z20" i="44"/>
  <c r="U20" i="44"/>
  <c r="T20" i="44"/>
  <c r="O20" i="44"/>
  <c r="N20" i="44"/>
  <c r="I20" i="44"/>
  <c r="H20" i="44"/>
  <c r="AM19" i="44"/>
  <c r="Q38" i="3" s="1"/>
  <c r="AK19" i="44"/>
  <c r="Q19" i="3" s="1"/>
  <c r="AI19" i="44"/>
  <c r="Z19" i="44"/>
  <c r="W19" i="44"/>
  <c r="AA19" i="44" s="1"/>
  <c r="T19" i="44"/>
  <c r="Q19" i="44"/>
  <c r="U19" i="44" s="1"/>
  <c r="N19" i="44"/>
  <c r="K19" i="44"/>
  <c r="O19" i="44" s="1"/>
  <c r="H19" i="44"/>
  <c r="E19" i="44"/>
  <c r="I19" i="44" s="1"/>
  <c r="AM18" i="44"/>
  <c r="Q37" i="3" s="1"/>
  <c r="AK18" i="44"/>
  <c r="Q18" i="3" s="1"/>
  <c r="AI18" i="44"/>
  <c r="Z18" i="44"/>
  <c r="W18" i="44"/>
  <c r="AA18" i="44" s="1"/>
  <c r="T18" i="44"/>
  <c r="Q18" i="44"/>
  <c r="U18" i="44" s="1"/>
  <c r="N18" i="44"/>
  <c r="K18" i="44"/>
  <c r="O18" i="44" s="1"/>
  <c r="H18" i="44"/>
  <c r="E18" i="44"/>
  <c r="AC18" i="44" s="1"/>
  <c r="AM17" i="44"/>
  <c r="Q36" i="3" s="1"/>
  <c r="AK17" i="44"/>
  <c r="Q17" i="3" s="1"/>
  <c r="AI17" i="44"/>
  <c r="Z17" i="44"/>
  <c r="W17" i="44"/>
  <c r="AA17" i="44" s="1"/>
  <c r="T17" i="44"/>
  <c r="Q17" i="44"/>
  <c r="U17" i="44" s="1"/>
  <c r="N17" i="44"/>
  <c r="K17" i="44"/>
  <c r="O17" i="44" s="1"/>
  <c r="H17" i="44"/>
  <c r="E17" i="44"/>
  <c r="I17" i="44" s="1"/>
  <c r="AM16" i="44"/>
  <c r="Q35" i="3" s="1"/>
  <c r="AK16" i="44"/>
  <c r="Q16" i="3" s="1"/>
  <c r="AI16" i="44"/>
  <c r="AG16" i="44"/>
  <c r="AC16" i="44"/>
  <c r="AA16" i="44"/>
  <c r="Z16" i="44"/>
  <c r="T16" i="44"/>
  <c r="O16" i="44"/>
  <c r="N16" i="44"/>
  <c r="I16" i="44"/>
  <c r="H16" i="44"/>
  <c r="AM15" i="44"/>
  <c r="Q34" i="3" s="1"/>
  <c r="AK15" i="44"/>
  <c r="Q15" i="3" s="1"/>
  <c r="AI15" i="44"/>
  <c r="Z15" i="44"/>
  <c r="W15" i="44"/>
  <c r="AA15" i="44" s="1"/>
  <c r="T15" i="44"/>
  <c r="Q15" i="44"/>
  <c r="U15" i="44" s="1"/>
  <c r="N15" i="44"/>
  <c r="K15" i="44"/>
  <c r="O15" i="44" s="1"/>
  <c r="H15" i="44"/>
  <c r="E15" i="44"/>
  <c r="AM14" i="44"/>
  <c r="Q33" i="3" s="1"/>
  <c r="AK14" i="44"/>
  <c r="Q14" i="3" s="1"/>
  <c r="AI14" i="44"/>
  <c r="Z14" i="44"/>
  <c r="W14" i="44"/>
  <c r="AA14" i="44" s="1"/>
  <c r="T14" i="44"/>
  <c r="Q14" i="44"/>
  <c r="U14" i="44" s="1"/>
  <c r="N14" i="44"/>
  <c r="K14" i="44"/>
  <c r="O14" i="44" s="1"/>
  <c r="H14" i="44"/>
  <c r="E14" i="44"/>
  <c r="AG14" i="44" s="1"/>
  <c r="AM13" i="44"/>
  <c r="Q32" i="3" s="1"/>
  <c r="AK13" i="44"/>
  <c r="Q13" i="3" s="1"/>
  <c r="AI13" i="44"/>
  <c r="Z13" i="44"/>
  <c r="W13" i="44"/>
  <c r="AA13" i="44" s="1"/>
  <c r="T13" i="44"/>
  <c r="Q13" i="44"/>
  <c r="U13" i="44" s="1"/>
  <c r="N13" i="44"/>
  <c r="K13" i="44"/>
  <c r="O13" i="44" s="1"/>
  <c r="H13" i="44"/>
  <c r="E13" i="44"/>
  <c r="AM12" i="44"/>
  <c r="Q31" i="3" s="1"/>
  <c r="AK12" i="44"/>
  <c r="Q12" i="3" s="1"/>
  <c r="AI12" i="44"/>
  <c r="Z12" i="44"/>
  <c r="W12" i="44"/>
  <c r="AA12" i="44" s="1"/>
  <c r="T12" i="44"/>
  <c r="Q12" i="44"/>
  <c r="U12" i="44" s="1"/>
  <c r="N12" i="44"/>
  <c r="K12" i="44"/>
  <c r="O12" i="44" s="1"/>
  <c r="H12" i="44"/>
  <c r="E12" i="44"/>
  <c r="AM11" i="44"/>
  <c r="Q30" i="3" s="1"/>
  <c r="AK11" i="44"/>
  <c r="Q11" i="3" s="1"/>
  <c r="AI11" i="44"/>
  <c r="Z11" i="44"/>
  <c r="W11" i="44"/>
  <c r="AA11" i="44" s="1"/>
  <c r="T11" i="44"/>
  <c r="Q11" i="44"/>
  <c r="U11" i="44" s="1"/>
  <c r="N11" i="44"/>
  <c r="K11" i="44"/>
  <c r="O11" i="44" s="1"/>
  <c r="H11" i="44"/>
  <c r="E11" i="44"/>
  <c r="AM10" i="44"/>
  <c r="Q29" i="3" s="1"/>
  <c r="AK10" i="44"/>
  <c r="Q10" i="3" s="1"/>
  <c r="AI10" i="44"/>
  <c r="Z10" i="44"/>
  <c r="W10" i="44"/>
  <c r="AA10" i="44" s="1"/>
  <c r="T10" i="44"/>
  <c r="Q10" i="44"/>
  <c r="U10" i="44" s="1"/>
  <c r="N10" i="44"/>
  <c r="K10" i="44"/>
  <c r="O10" i="44" s="1"/>
  <c r="H10" i="44"/>
  <c r="E10" i="44"/>
  <c r="AG10" i="44" s="1"/>
  <c r="AM9" i="44"/>
  <c r="Q28" i="3" s="1"/>
  <c r="AK9" i="44"/>
  <c r="Q9" i="3" s="1"/>
  <c r="AI9" i="44"/>
  <c r="Z9" i="44"/>
  <c r="W9" i="44"/>
  <c r="AA9" i="44" s="1"/>
  <c r="T9" i="44"/>
  <c r="Q9" i="44"/>
  <c r="U9" i="44" s="1"/>
  <c r="N9" i="44"/>
  <c r="K9" i="44"/>
  <c r="O9" i="44" s="1"/>
  <c r="H9" i="44"/>
  <c r="E9" i="44"/>
  <c r="AG9" i="44" s="1"/>
  <c r="AM8" i="44"/>
  <c r="Q27" i="3" s="1"/>
  <c r="AK8" i="44"/>
  <c r="Q8" i="3" s="1"/>
  <c r="AI8" i="44"/>
  <c r="Z8" i="44"/>
  <c r="W8" i="44"/>
  <c r="AA8" i="44" s="1"/>
  <c r="T8" i="44"/>
  <c r="Q8" i="44"/>
  <c r="N8" i="44"/>
  <c r="K8" i="44"/>
  <c r="O8" i="44" s="1"/>
  <c r="H8" i="44"/>
  <c r="E8" i="44"/>
  <c r="I8" i="44" s="1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J8" i="2"/>
  <c r="I8" i="2"/>
  <c r="G8" i="2"/>
  <c r="F8" i="2"/>
  <c r="AA37" i="43"/>
  <c r="U37" i="43"/>
  <c r="O37" i="43"/>
  <c r="I37" i="43"/>
  <c r="AE23" i="43"/>
  <c r="Y23" i="43"/>
  <c r="X23" i="43"/>
  <c r="V23" i="43"/>
  <c r="S23" i="43"/>
  <c r="R23" i="43"/>
  <c r="P23" i="43"/>
  <c r="M23" i="43"/>
  <c r="L23" i="43"/>
  <c r="J23" i="43"/>
  <c r="G23" i="43"/>
  <c r="F23" i="43"/>
  <c r="D23" i="43"/>
  <c r="AM22" i="43"/>
  <c r="P41" i="3" s="1"/>
  <c r="AK22" i="43"/>
  <c r="P22" i="3" s="1"/>
  <c r="AI22" i="43"/>
  <c r="AG22" i="43"/>
  <c r="AC22" i="43"/>
  <c r="AA22" i="43"/>
  <c r="Z22" i="43"/>
  <c r="U22" i="43"/>
  <c r="T22" i="43"/>
  <c r="O22" i="43"/>
  <c r="N22" i="43"/>
  <c r="I22" i="43"/>
  <c r="H22" i="43"/>
  <c r="AM21" i="43"/>
  <c r="P40" i="3" s="1"/>
  <c r="AK21" i="43"/>
  <c r="P21" i="3" s="1"/>
  <c r="AI21" i="43"/>
  <c r="AG21" i="43"/>
  <c r="AC21" i="43"/>
  <c r="AA21" i="43"/>
  <c r="Z21" i="43"/>
  <c r="U21" i="43"/>
  <c r="T21" i="43"/>
  <c r="O21" i="43"/>
  <c r="N21" i="43"/>
  <c r="I21" i="43"/>
  <c r="H21" i="43"/>
  <c r="AM20" i="43"/>
  <c r="P39" i="3" s="1"/>
  <c r="AK20" i="43"/>
  <c r="P20" i="3" s="1"/>
  <c r="AI20" i="43"/>
  <c r="AG20" i="43"/>
  <c r="AC20" i="43"/>
  <c r="AA20" i="43"/>
  <c r="Z20" i="43"/>
  <c r="U20" i="43"/>
  <c r="T20" i="43"/>
  <c r="O20" i="43"/>
  <c r="N20" i="43"/>
  <c r="I20" i="43"/>
  <c r="H20" i="43"/>
  <c r="AM19" i="43"/>
  <c r="P38" i="3" s="1"/>
  <c r="AK19" i="43"/>
  <c r="P19" i="3" s="1"/>
  <c r="AI19" i="43"/>
  <c r="Z19" i="43"/>
  <c r="W19" i="43"/>
  <c r="AA19" i="43" s="1"/>
  <c r="T19" i="43"/>
  <c r="Q19" i="43"/>
  <c r="U19" i="43" s="1"/>
  <c r="N19" i="43"/>
  <c r="K19" i="43"/>
  <c r="O19" i="43" s="1"/>
  <c r="H19" i="43"/>
  <c r="E19" i="43"/>
  <c r="I19" i="43" s="1"/>
  <c r="AM18" i="43"/>
  <c r="P37" i="3" s="1"/>
  <c r="AK18" i="43"/>
  <c r="P18" i="3" s="1"/>
  <c r="AI18" i="43"/>
  <c r="Z18" i="43"/>
  <c r="W18" i="43"/>
  <c r="AA18" i="43" s="1"/>
  <c r="T18" i="43"/>
  <c r="Q18" i="43"/>
  <c r="U18" i="43" s="1"/>
  <c r="N18" i="43"/>
  <c r="K18" i="43"/>
  <c r="O18" i="43" s="1"/>
  <c r="H18" i="43"/>
  <c r="E18" i="43"/>
  <c r="AM17" i="43"/>
  <c r="P36" i="3" s="1"/>
  <c r="AK17" i="43"/>
  <c r="P17" i="3" s="1"/>
  <c r="AI17" i="43"/>
  <c r="Z17" i="43"/>
  <c r="W17" i="43"/>
  <c r="AA17" i="43" s="1"/>
  <c r="T17" i="43"/>
  <c r="Q17" i="43"/>
  <c r="U17" i="43" s="1"/>
  <c r="N17" i="43"/>
  <c r="K17" i="43"/>
  <c r="O17" i="43" s="1"/>
  <c r="H17" i="43"/>
  <c r="E17" i="43"/>
  <c r="I17" i="43" s="1"/>
  <c r="AM16" i="43"/>
  <c r="P35" i="3" s="1"/>
  <c r="AK16" i="43"/>
  <c r="P16" i="3" s="1"/>
  <c r="AI16" i="43"/>
  <c r="AG16" i="43"/>
  <c r="AC16" i="43"/>
  <c r="AA16" i="43"/>
  <c r="Z16" i="43"/>
  <c r="T16" i="43"/>
  <c r="O16" i="43"/>
  <c r="N16" i="43"/>
  <c r="I16" i="43"/>
  <c r="H16" i="43"/>
  <c r="AM15" i="43"/>
  <c r="P34" i="3" s="1"/>
  <c r="AK15" i="43"/>
  <c r="P15" i="3" s="1"/>
  <c r="AI15" i="43"/>
  <c r="Z15" i="43"/>
  <c r="W15" i="43"/>
  <c r="AA15" i="43" s="1"/>
  <c r="T15" i="43"/>
  <c r="Q15" i="43"/>
  <c r="U15" i="43" s="1"/>
  <c r="N15" i="43"/>
  <c r="K15" i="43"/>
  <c r="O15" i="43" s="1"/>
  <c r="H15" i="43"/>
  <c r="E15" i="43"/>
  <c r="AM14" i="43"/>
  <c r="P33" i="3" s="1"/>
  <c r="AK14" i="43"/>
  <c r="P14" i="3" s="1"/>
  <c r="AI14" i="43"/>
  <c r="Z14" i="43"/>
  <c r="W14" i="43"/>
  <c r="AA14" i="43" s="1"/>
  <c r="T14" i="43"/>
  <c r="Q14" i="43"/>
  <c r="U14" i="43" s="1"/>
  <c r="N14" i="43"/>
  <c r="K14" i="43"/>
  <c r="O14" i="43" s="1"/>
  <c r="H14" i="43"/>
  <c r="E14" i="43"/>
  <c r="AM13" i="43"/>
  <c r="P32" i="3" s="1"/>
  <c r="AK13" i="43"/>
  <c r="P13" i="3" s="1"/>
  <c r="AI13" i="43"/>
  <c r="Z13" i="43"/>
  <c r="W13" i="43"/>
  <c r="AA13" i="43" s="1"/>
  <c r="T13" i="43"/>
  <c r="Q13" i="43"/>
  <c r="U13" i="43" s="1"/>
  <c r="N13" i="43"/>
  <c r="K13" i="43"/>
  <c r="O13" i="43" s="1"/>
  <c r="H13" i="43"/>
  <c r="E13" i="43"/>
  <c r="AM12" i="43"/>
  <c r="P31" i="3" s="1"/>
  <c r="AK12" i="43"/>
  <c r="P12" i="3" s="1"/>
  <c r="AI12" i="43"/>
  <c r="Z12" i="43"/>
  <c r="W12" i="43"/>
  <c r="AA12" i="43" s="1"/>
  <c r="T12" i="43"/>
  <c r="Q12" i="43"/>
  <c r="U12" i="43" s="1"/>
  <c r="N12" i="43"/>
  <c r="K12" i="43"/>
  <c r="O12" i="43" s="1"/>
  <c r="H12" i="43"/>
  <c r="E12" i="43"/>
  <c r="AM11" i="43"/>
  <c r="P30" i="3" s="1"/>
  <c r="AK11" i="43"/>
  <c r="P11" i="3" s="1"/>
  <c r="AI11" i="43"/>
  <c r="Z11" i="43"/>
  <c r="W11" i="43"/>
  <c r="AA11" i="43" s="1"/>
  <c r="T11" i="43"/>
  <c r="Q11" i="43"/>
  <c r="U11" i="43" s="1"/>
  <c r="N11" i="43"/>
  <c r="K11" i="43"/>
  <c r="O11" i="43" s="1"/>
  <c r="H11" i="43"/>
  <c r="E11" i="43"/>
  <c r="I11" i="43" s="1"/>
  <c r="AM10" i="43"/>
  <c r="P29" i="3" s="1"/>
  <c r="AK10" i="43"/>
  <c r="P10" i="3" s="1"/>
  <c r="AI10" i="43"/>
  <c r="Z10" i="43"/>
  <c r="W10" i="43"/>
  <c r="AA10" i="43" s="1"/>
  <c r="T10" i="43"/>
  <c r="Q10" i="43"/>
  <c r="U10" i="43" s="1"/>
  <c r="N10" i="43"/>
  <c r="K10" i="43"/>
  <c r="O10" i="43" s="1"/>
  <c r="H10" i="43"/>
  <c r="E10" i="43"/>
  <c r="AM9" i="43"/>
  <c r="P28" i="3" s="1"/>
  <c r="AK9" i="43"/>
  <c r="P9" i="3" s="1"/>
  <c r="AI9" i="43"/>
  <c r="Z9" i="43"/>
  <c r="W9" i="43"/>
  <c r="AA9" i="43" s="1"/>
  <c r="T9" i="43"/>
  <c r="Q9" i="43"/>
  <c r="U9" i="43" s="1"/>
  <c r="N9" i="43"/>
  <c r="K9" i="43"/>
  <c r="O9" i="43" s="1"/>
  <c r="H9" i="43"/>
  <c r="E9" i="43"/>
  <c r="AM8" i="43"/>
  <c r="P27" i="3" s="1"/>
  <c r="AK8" i="43"/>
  <c r="AI8" i="43"/>
  <c r="Z8" i="43"/>
  <c r="W8" i="43"/>
  <c r="AA8" i="43" s="1"/>
  <c r="T8" i="43"/>
  <c r="Q8" i="43"/>
  <c r="N8" i="43"/>
  <c r="K8" i="43"/>
  <c r="O8" i="43" s="1"/>
  <c r="H8" i="43"/>
  <c r="E8" i="43"/>
  <c r="I8" i="43" s="1"/>
  <c r="O37" i="42"/>
  <c r="I37" i="42"/>
  <c r="AA37" i="42"/>
  <c r="U37" i="42"/>
  <c r="X23" i="42"/>
  <c r="V23" i="42"/>
  <c r="R23" i="42"/>
  <c r="P23" i="42"/>
  <c r="L23" i="42"/>
  <c r="J23" i="42"/>
  <c r="F23" i="42"/>
  <c r="D23" i="42"/>
  <c r="AM22" i="42"/>
  <c r="O41" i="3" s="1"/>
  <c r="AK22" i="42"/>
  <c r="O22" i="3" s="1"/>
  <c r="AG22" i="42"/>
  <c r="AB22" i="42"/>
  <c r="Z22" i="42"/>
  <c r="AA22" i="42"/>
  <c r="U22" i="42"/>
  <c r="T22" i="42"/>
  <c r="O22" i="42"/>
  <c r="N22" i="42"/>
  <c r="H22" i="42"/>
  <c r="AC22" i="42"/>
  <c r="AM21" i="42"/>
  <c r="O40" i="3" s="1"/>
  <c r="AK21" i="42"/>
  <c r="O21" i="3" s="1"/>
  <c r="AI21" i="42"/>
  <c r="AG21" i="42"/>
  <c r="AB21" i="42"/>
  <c r="AA21" i="42"/>
  <c r="Z21" i="42"/>
  <c r="T21" i="42"/>
  <c r="U21" i="42"/>
  <c r="O21" i="42"/>
  <c r="N21" i="42"/>
  <c r="I21" i="42"/>
  <c r="H21" i="42"/>
  <c r="AC21" i="42"/>
  <c r="AM20" i="42"/>
  <c r="O39" i="3" s="1"/>
  <c r="AK20" i="42"/>
  <c r="O20" i="3" s="1"/>
  <c r="AI20" i="42"/>
  <c r="AG20" i="42"/>
  <c r="AC20" i="42"/>
  <c r="AB20" i="42"/>
  <c r="AA20" i="42"/>
  <c r="Z20" i="42"/>
  <c r="U20" i="42"/>
  <c r="T20" i="42"/>
  <c r="O20" i="42"/>
  <c r="N20" i="42"/>
  <c r="I20" i="42"/>
  <c r="H20" i="42"/>
  <c r="AM19" i="42"/>
  <c r="O38" i="3" s="1"/>
  <c r="AK19" i="42"/>
  <c r="O19" i="3" s="1"/>
  <c r="AB19" i="42"/>
  <c r="Z19" i="42"/>
  <c r="W19" i="42"/>
  <c r="AA19" i="42" s="1"/>
  <c r="T19" i="42"/>
  <c r="Q19" i="42"/>
  <c r="N19" i="42"/>
  <c r="K19" i="42"/>
  <c r="O19" i="42" s="1"/>
  <c r="H19" i="42"/>
  <c r="AI19" i="42"/>
  <c r="E19" i="42"/>
  <c r="AM18" i="42"/>
  <c r="O37" i="3" s="1"/>
  <c r="AK18" i="42"/>
  <c r="O18" i="3" s="1"/>
  <c r="AI18" i="42"/>
  <c r="AB18" i="42"/>
  <c r="Z18" i="42"/>
  <c r="W18" i="42"/>
  <c r="AA18" i="42" s="1"/>
  <c r="T18" i="42"/>
  <c r="Q18" i="42"/>
  <c r="U18" i="42" s="1"/>
  <c r="N18" i="42"/>
  <c r="K18" i="42"/>
  <c r="O18" i="42" s="1"/>
  <c r="H18" i="42"/>
  <c r="E18" i="42"/>
  <c r="AM17" i="42"/>
  <c r="O36" i="3" s="1"/>
  <c r="AK17" i="42"/>
  <c r="O17" i="3" s="1"/>
  <c r="AB17" i="42"/>
  <c r="Z17" i="42"/>
  <c r="AI17" i="42"/>
  <c r="W17" i="42"/>
  <c r="T17" i="42"/>
  <c r="Q17" i="42"/>
  <c r="U17" i="42" s="1"/>
  <c r="N17" i="42"/>
  <c r="K17" i="42"/>
  <c r="O17" i="42" s="1"/>
  <c r="H17" i="42"/>
  <c r="E17" i="42"/>
  <c r="I17" i="42" s="1"/>
  <c r="AM16" i="42"/>
  <c r="O35" i="3" s="1"/>
  <c r="AK16" i="42"/>
  <c r="O16" i="3" s="1"/>
  <c r="AI16" i="42"/>
  <c r="AG16" i="42"/>
  <c r="AC16" i="42"/>
  <c r="AB16" i="42"/>
  <c r="AA16" i="42"/>
  <c r="Z16" i="42"/>
  <c r="T16" i="42"/>
  <c r="O16" i="42"/>
  <c r="N16" i="42"/>
  <c r="I16" i="42"/>
  <c r="H16" i="42"/>
  <c r="AM15" i="42"/>
  <c r="O34" i="3" s="1"/>
  <c r="AK15" i="42"/>
  <c r="O15" i="3" s="1"/>
  <c r="AB15" i="42"/>
  <c r="Z15" i="42"/>
  <c r="AI15" i="42"/>
  <c r="W15" i="42"/>
  <c r="T15" i="42"/>
  <c r="Q15" i="42"/>
  <c r="U15" i="42" s="1"/>
  <c r="N15" i="42"/>
  <c r="K15" i="42"/>
  <c r="O15" i="42" s="1"/>
  <c r="H15" i="42"/>
  <c r="E15" i="42"/>
  <c r="I15" i="42" s="1"/>
  <c r="AM14" i="42"/>
  <c r="O33" i="3" s="1"/>
  <c r="AK14" i="42"/>
  <c r="O14" i="3" s="1"/>
  <c r="AI14" i="42"/>
  <c r="AB14" i="42"/>
  <c r="Z14" i="42"/>
  <c r="W14" i="42"/>
  <c r="AA14" i="42" s="1"/>
  <c r="T14" i="42"/>
  <c r="Q14" i="42"/>
  <c r="U14" i="42" s="1"/>
  <c r="N14" i="42"/>
  <c r="K14" i="42"/>
  <c r="O14" i="42" s="1"/>
  <c r="H14" i="42"/>
  <c r="E14" i="42"/>
  <c r="AG14" i="42" s="1"/>
  <c r="AM13" i="42"/>
  <c r="O32" i="3" s="1"/>
  <c r="AK13" i="42"/>
  <c r="O13" i="3" s="1"/>
  <c r="AB13" i="42"/>
  <c r="Z13" i="42"/>
  <c r="W13" i="42"/>
  <c r="AA13" i="42" s="1"/>
  <c r="T13" i="42"/>
  <c r="AI13" i="42"/>
  <c r="Q13" i="42"/>
  <c r="U13" i="42" s="1"/>
  <c r="N13" i="42"/>
  <c r="K13" i="42"/>
  <c r="O13" i="42" s="1"/>
  <c r="H13" i="42"/>
  <c r="E13" i="42"/>
  <c r="AM12" i="42"/>
  <c r="O31" i="3" s="1"/>
  <c r="AK12" i="42"/>
  <c r="O12" i="3" s="1"/>
  <c r="AB12" i="42"/>
  <c r="Z12" i="42"/>
  <c r="W12" i="42"/>
  <c r="AA12" i="42" s="1"/>
  <c r="T12" i="42"/>
  <c r="U12" i="42"/>
  <c r="N12" i="42"/>
  <c r="K12" i="42"/>
  <c r="O12" i="42" s="1"/>
  <c r="H12" i="42"/>
  <c r="E12" i="42"/>
  <c r="AM11" i="42"/>
  <c r="O30" i="3" s="1"/>
  <c r="AK11" i="42"/>
  <c r="O11" i="3" s="1"/>
  <c r="AB11" i="42"/>
  <c r="Z11" i="42"/>
  <c r="W11" i="42"/>
  <c r="AA11" i="42" s="1"/>
  <c r="T11" i="42"/>
  <c r="Q11" i="42"/>
  <c r="U11" i="42" s="1"/>
  <c r="N11" i="42"/>
  <c r="K11" i="42"/>
  <c r="O11" i="42" s="1"/>
  <c r="H11" i="42"/>
  <c r="E11" i="42"/>
  <c r="I11" i="42" s="1"/>
  <c r="AM10" i="42"/>
  <c r="O29" i="3" s="1"/>
  <c r="AK10" i="42"/>
  <c r="O10" i="3" s="1"/>
  <c r="AI10" i="42"/>
  <c r="AB10" i="42"/>
  <c r="Z10" i="42"/>
  <c r="W10" i="42"/>
  <c r="AA10" i="42" s="1"/>
  <c r="T10" i="42"/>
  <c r="Q10" i="42"/>
  <c r="U10" i="42" s="1"/>
  <c r="N10" i="42"/>
  <c r="K10" i="42"/>
  <c r="O10" i="42" s="1"/>
  <c r="H10" i="42"/>
  <c r="E10" i="42"/>
  <c r="I10" i="42" s="1"/>
  <c r="AM9" i="42"/>
  <c r="O28" i="3" s="1"/>
  <c r="AK9" i="42"/>
  <c r="O9" i="3" s="1"/>
  <c r="AB9" i="42"/>
  <c r="Z9" i="42"/>
  <c r="AI9" i="42"/>
  <c r="W9" i="42"/>
  <c r="T9" i="42"/>
  <c r="S23" i="42"/>
  <c r="Q9" i="42"/>
  <c r="N9" i="42"/>
  <c r="K9" i="42"/>
  <c r="O9" i="42" s="1"/>
  <c r="H9" i="42"/>
  <c r="E9" i="42"/>
  <c r="I9" i="42" s="1"/>
  <c r="AM8" i="42"/>
  <c r="O27" i="3" s="1"/>
  <c r="AK8" i="42"/>
  <c r="O8" i="3" s="1"/>
  <c r="AI8" i="42"/>
  <c r="AE23" i="42"/>
  <c r="AB8" i="42"/>
  <c r="Z8" i="42"/>
  <c r="Y23" i="42"/>
  <c r="W8" i="42"/>
  <c r="T8" i="42"/>
  <c r="Q8" i="42"/>
  <c r="U8" i="42" s="1"/>
  <c r="N8" i="42"/>
  <c r="K8" i="42"/>
  <c r="H8" i="42"/>
  <c r="G23" i="42"/>
  <c r="E8" i="42"/>
  <c r="AG12" i="44" l="1"/>
  <c r="AC8" i="42"/>
  <c r="AG9" i="43"/>
  <c r="AC11" i="44"/>
  <c r="I11" i="44"/>
  <c r="AC13" i="44"/>
  <c r="I13" i="44"/>
  <c r="AC15" i="44"/>
  <c r="I15" i="44"/>
  <c r="AC13" i="43"/>
  <c r="I13" i="43"/>
  <c r="AC15" i="43"/>
  <c r="I15" i="43"/>
  <c r="AC37" i="43"/>
  <c r="AC13" i="42"/>
  <c r="AC12" i="42"/>
  <c r="E23" i="44"/>
  <c r="E23" i="43"/>
  <c r="AG12" i="42"/>
  <c r="Z23" i="44"/>
  <c r="AC37" i="44"/>
  <c r="AM23" i="44"/>
  <c r="Q23" i="44"/>
  <c r="T23" i="44"/>
  <c r="H23" i="44"/>
  <c r="N23" i="44"/>
  <c r="AG10" i="43"/>
  <c r="AC17" i="43"/>
  <c r="AC18" i="43"/>
  <c r="AG14" i="43"/>
  <c r="AG12" i="43"/>
  <c r="S24" i="44"/>
  <c r="R24" i="44"/>
  <c r="AK23" i="44"/>
  <c r="AC11" i="43"/>
  <c r="Z23" i="43"/>
  <c r="N23" i="43"/>
  <c r="AM23" i="43"/>
  <c r="Q23" i="43"/>
  <c r="S24" i="43"/>
  <c r="AK23" i="43"/>
  <c r="T23" i="43"/>
  <c r="R24" i="43"/>
  <c r="H23" i="43"/>
  <c r="P8" i="3"/>
  <c r="T23" i="42"/>
  <c r="AC37" i="42"/>
  <c r="H23" i="42"/>
  <c r="AA23" i="44"/>
  <c r="O23" i="44"/>
  <c r="AG11" i="44"/>
  <c r="AC19" i="44"/>
  <c r="K23" i="44"/>
  <c r="W23" i="44"/>
  <c r="AC9" i="44"/>
  <c r="AC10" i="44"/>
  <c r="AC14" i="44"/>
  <c r="AG19" i="44"/>
  <c r="AC8" i="44"/>
  <c r="I18" i="44"/>
  <c r="AG18" i="44"/>
  <c r="AG8" i="44"/>
  <c r="AG13" i="44"/>
  <c r="AG15" i="44"/>
  <c r="AC17" i="44"/>
  <c r="AC12" i="44"/>
  <c r="AG17" i="44"/>
  <c r="U8" i="44"/>
  <c r="U23" i="44" s="1"/>
  <c r="I9" i="44"/>
  <c r="I10" i="44"/>
  <c r="I12" i="44"/>
  <c r="I14" i="44"/>
  <c r="AA23" i="43"/>
  <c r="O23" i="43"/>
  <c r="AG15" i="43"/>
  <c r="K23" i="43"/>
  <c r="AC10" i="43"/>
  <c r="AC12" i="43"/>
  <c r="AC14" i="43"/>
  <c r="AC8" i="43"/>
  <c r="I18" i="43"/>
  <c r="AG18" i="43"/>
  <c r="AG8" i="43"/>
  <c r="AG11" i="43"/>
  <c r="AG13" i="43"/>
  <c r="AC19" i="43"/>
  <c r="W23" i="43"/>
  <c r="AC9" i="43"/>
  <c r="AG17" i="43"/>
  <c r="AG19" i="43"/>
  <c r="U8" i="43"/>
  <c r="U23" i="43" s="1"/>
  <c r="I9" i="43"/>
  <c r="I10" i="43"/>
  <c r="I12" i="43"/>
  <c r="I14" i="43"/>
  <c r="W23" i="42"/>
  <c r="AG19" i="42"/>
  <c r="Z23" i="42"/>
  <c r="AG9" i="42"/>
  <c r="K23" i="42"/>
  <c r="AM23" i="42"/>
  <c r="AG18" i="42"/>
  <c r="Q23" i="42"/>
  <c r="AC11" i="42"/>
  <c r="AC18" i="42"/>
  <c r="AG11" i="42"/>
  <c r="AG15" i="42"/>
  <c r="AC19" i="42"/>
  <c r="U19" i="42"/>
  <c r="N23" i="42"/>
  <c r="AK23" i="42"/>
  <c r="R24" i="42"/>
  <c r="AC10" i="42"/>
  <c r="AG13" i="42"/>
  <c r="AC17" i="42"/>
  <c r="AA8" i="42"/>
  <c r="AG8" i="42"/>
  <c r="AC9" i="42"/>
  <c r="AG10" i="42"/>
  <c r="AI12" i="42"/>
  <c r="AC14" i="42"/>
  <c r="AC15" i="42"/>
  <c r="AG17" i="42"/>
  <c r="I22" i="42"/>
  <c r="AI22" i="42"/>
  <c r="E23" i="42"/>
  <c r="M23" i="42"/>
  <c r="S24" i="42" s="1"/>
  <c r="O8" i="42"/>
  <c r="O23" i="42" s="1"/>
  <c r="I12" i="42"/>
  <c r="I13" i="42"/>
  <c r="I14" i="42"/>
  <c r="AA17" i="42"/>
  <c r="I19" i="42"/>
  <c r="I8" i="42"/>
  <c r="U9" i="42"/>
  <c r="AA9" i="42"/>
  <c r="AA15" i="42"/>
  <c r="I18" i="42"/>
  <c r="K9" i="41"/>
  <c r="K10" i="41"/>
  <c r="K11" i="41"/>
  <c r="K12" i="41"/>
  <c r="K13" i="41"/>
  <c r="K14" i="41"/>
  <c r="K15" i="41"/>
  <c r="K17" i="41"/>
  <c r="K18" i="41"/>
  <c r="K19" i="41"/>
  <c r="K8" i="41"/>
  <c r="Q9" i="41"/>
  <c r="Q10" i="41"/>
  <c r="Q11" i="41"/>
  <c r="Q12" i="41"/>
  <c r="Q13" i="41"/>
  <c r="Q14" i="41"/>
  <c r="Q15" i="41"/>
  <c r="Q17" i="41"/>
  <c r="Q18" i="41"/>
  <c r="Q19" i="41"/>
  <c r="U23" i="42" l="1"/>
  <c r="I23" i="44"/>
  <c r="AC24" i="44" s="1"/>
  <c r="AC38" i="44" s="1"/>
  <c r="AO23" i="44"/>
  <c r="I23" i="43"/>
  <c r="AC24" i="43" s="1"/>
  <c r="AC38" i="43" s="1"/>
  <c r="AO23" i="43"/>
  <c r="AC23" i="44"/>
  <c r="AC23" i="43"/>
  <c r="AO23" i="42"/>
  <c r="AC23" i="42"/>
  <c r="AA23" i="42"/>
  <c r="I23" i="42"/>
  <c r="AC24" i="42" l="1"/>
  <c r="AC38" i="42" s="1"/>
  <c r="AB9" i="35" l="1"/>
  <c r="AB10" i="35"/>
  <c r="AB11" i="35"/>
  <c r="AB12" i="35"/>
  <c r="AB13" i="35"/>
  <c r="AB14" i="35"/>
  <c r="AB15" i="35"/>
  <c r="AB16" i="35"/>
  <c r="AB17" i="35"/>
  <c r="AB18" i="35"/>
  <c r="AB19" i="35"/>
  <c r="AB20" i="35"/>
  <c r="AB21" i="35"/>
  <c r="AB22" i="35"/>
  <c r="AB8" i="35"/>
  <c r="Q19" i="35"/>
  <c r="U16" i="36" l="1"/>
  <c r="K9" i="36"/>
  <c r="K10" i="36"/>
  <c r="K11" i="36"/>
  <c r="K12" i="36"/>
  <c r="K13" i="36"/>
  <c r="K14" i="36"/>
  <c r="K15" i="36"/>
  <c r="K17" i="36"/>
  <c r="K18" i="36"/>
  <c r="K19" i="36"/>
  <c r="K8" i="36"/>
  <c r="Q9" i="34" l="1"/>
  <c r="Q10" i="34"/>
  <c r="Q11" i="34"/>
  <c r="Q12" i="34"/>
  <c r="Q13" i="34"/>
  <c r="Q14" i="34"/>
  <c r="Q15" i="34"/>
  <c r="Q17" i="34"/>
  <c r="Q18" i="34"/>
  <c r="Q19" i="34"/>
  <c r="K9" i="33" l="1"/>
  <c r="K10" i="33"/>
  <c r="K11" i="33"/>
  <c r="K12" i="33"/>
  <c r="K13" i="33"/>
  <c r="K14" i="33"/>
  <c r="K15" i="33"/>
  <c r="K17" i="33"/>
  <c r="K18" i="33"/>
  <c r="K19" i="33"/>
  <c r="K8" i="33"/>
  <c r="Q19" i="32" l="1"/>
  <c r="U37" i="41"/>
  <c r="U39" i="41" s="1"/>
  <c r="AC37" i="41" s="1"/>
  <c r="O37" i="41"/>
  <c r="I37" i="41"/>
  <c r="AE23" i="41"/>
  <c r="Y23" i="41"/>
  <c r="X23" i="41"/>
  <c r="V23" i="41"/>
  <c r="P23" i="41"/>
  <c r="M23" i="41"/>
  <c r="L23" i="41"/>
  <c r="J23" i="41"/>
  <c r="G23" i="41"/>
  <c r="F23" i="41"/>
  <c r="D23" i="41"/>
  <c r="AM22" i="41"/>
  <c r="N41" i="3" s="1"/>
  <c r="AK22" i="41"/>
  <c r="N22" i="3" s="1"/>
  <c r="AI22" i="41"/>
  <c r="AG22" i="41"/>
  <c r="AC22" i="41"/>
  <c r="AA22" i="41"/>
  <c r="Z22" i="41"/>
  <c r="U22" i="41"/>
  <c r="T22" i="41"/>
  <c r="O22" i="41"/>
  <c r="N22" i="41"/>
  <c r="I22" i="41"/>
  <c r="H22" i="41"/>
  <c r="AM21" i="41"/>
  <c r="N40" i="3" s="1"/>
  <c r="AK21" i="41"/>
  <c r="N21" i="3" s="1"/>
  <c r="AI21" i="41"/>
  <c r="AG21" i="41"/>
  <c r="AC21" i="41"/>
  <c r="AA21" i="41"/>
  <c r="Z21" i="41"/>
  <c r="U21" i="41"/>
  <c r="T21" i="41"/>
  <c r="O21" i="41"/>
  <c r="N21" i="41"/>
  <c r="I21" i="41"/>
  <c r="H21" i="41"/>
  <c r="AM20" i="41"/>
  <c r="N39" i="3" s="1"/>
  <c r="AK20" i="41"/>
  <c r="N20" i="3" s="1"/>
  <c r="AI20" i="41"/>
  <c r="AG20" i="41"/>
  <c r="AC20" i="41"/>
  <c r="AA20" i="41"/>
  <c r="Z20" i="41"/>
  <c r="U20" i="41"/>
  <c r="T20" i="41"/>
  <c r="O20" i="41"/>
  <c r="N20" i="41"/>
  <c r="I20" i="41"/>
  <c r="H20" i="41"/>
  <c r="AM19" i="41"/>
  <c r="N38" i="3" s="1"/>
  <c r="AK19" i="41"/>
  <c r="N19" i="3" s="1"/>
  <c r="AI19" i="41"/>
  <c r="Z19" i="41"/>
  <c r="W19" i="41"/>
  <c r="AA19" i="41" s="1"/>
  <c r="U19" i="41"/>
  <c r="T19" i="41"/>
  <c r="N19" i="41"/>
  <c r="H19" i="41"/>
  <c r="O19" i="41" s="1"/>
  <c r="E19" i="41"/>
  <c r="I19" i="41" s="1"/>
  <c r="AM18" i="41"/>
  <c r="N37" i="3" s="1"/>
  <c r="AK18" i="41"/>
  <c r="N18" i="3" s="1"/>
  <c r="AI18" i="41"/>
  <c r="Z18" i="41"/>
  <c r="W18" i="41"/>
  <c r="AA18" i="41" s="1"/>
  <c r="T18" i="41"/>
  <c r="U18" i="41"/>
  <c r="N18" i="41"/>
  <c r="O18" i="41"/>
  <c r="H18" i="41"/>
  <c r="E18" i="41"/>
  <c r="AM17" i="41"/>
  <c r="N36" i="3" s="1"/>
  <c r="AK17" i="41"/>
  <c r="N17" i="3" s="1"/>
  <c r="AI17" i="41"/>
  <c r="Z17" i="41"/>
  <c r="W17" i="41"/>
  <c r="AA17" i="41" s="1"/>
  <c r="U17" i="41"/>
  <c r="T17" i="41"/>
  <c r="N17" i="41"/>
  <c r="H17" i="41"/>
  <c r="O17" i="41" s="1"/>
  <c r="E17" i="41"/>
  <c r="AM16" i="41"/>
  <c r="N35" i="3" s="1"/>
  <c r="AK16" i="41"/>
  <c r="N16" i="3" s="1"/>
  <c r="AI16" i="41"/>
  <c r="AG16" i="41"/>
  <c r="AC16" i="41"/>
  <c r="AA16" i="41"/>
  <c r="Z16" i="41"/>
  <c r="T16" i="41"/>
  <c r="O16" i="41"/>
  <c r="N16" i="41"/>
  <c r="I16" i="41"/>
  <c r="H16" i="41"/>
  <c r="AM15" i="41"/>
  <c r="N34" i="3" s="1"/>
  <c r="AK15" i="41"/>
  <c r="N15" i="3" s="1"/>
  <c r="AI15" i="41"/>
  <c r="Z15" i="41"/>
  <c r="W15" i="41"/>
  <c r="AA15" i="41" s="1"/>
  <c r="T15" i="41"/>
  <c r="U15" i="41"/>
  <c r="N15" i="41"/>
  <c r="H15" i="41"/>
  <c r="O15" i="41" s="1"/>
  <c r="E15" i="41"/>
  <c r="I15" i="41" s="1"/>
  <c r="AM14" i="41"/>
  <c r="N33" i="3" s="1"/>
  <c r="AK14" i="41"/>
  <c r="N14" i="3" s="1"/>
  <c r="AI14" i="41"/>
  <c r="Z14" i="41"/>
  <c r="W14" i="41"/>
  <c r="AA14" i="41" s="1"/>
  <c r="U14" i="41"/>
  <c r="T14" i="41"/>
  <c r="N14" i="41"/>
  <c r="O14" i="41"/>
  <c r="H14" i="41"/>
  <c r="E14" i="41"/>
  <c r="AC14" i="41" s="1"/>
  <c r="AM13" i="41"/>
  <c r="N32" i="3" s="1"/>
  <c r="AK13" i="41"/>
  <c r="N13" i="3" s="1"/>
  <c r="AI13" i="41"/>
  <c r="Z13" i="41"/>
  <c r="W13" i="41"/>
  <c r="AA13" i="41" s="1"/>
  <c r="T13" i="41"/>
  <c r="U13" i="41"/>
  <c r="N13" i="41"/>
  <c r="H13" i="41"/>
  <c r="O13" i="41" s="1"/>
  <c r="E13" i="41"/>
  <c r="I13" i="41" s="1"/>
  <c r="AM12" i="41"/>
  <c r="N31" i="3" s="1"/>
  <c r="AK12" i="41"/>
  <c r="N12" i="3" s="1"/>
  <c r="AI12" i="41"/>
  <c r="Z12" i="41"/>
  <c r="W12" i="41"/>
  <c r="AA12" i="41" s="1"/>
  <c r="U12" i="41"/>
  <c r="T12" i="41"/>
  <c r="N12" i="41"/>
  <c r="O12" i="41"/>
  <c r="H12" i="41"/>
  <c r="E12" i="41"/>
  <c r="AC12" i="41" s="1"/>
  <c r="AM11" i="41"/>
  <c r="N30" i="3" s="1"/>
  <c r="AK11" i="41"/>
  <c r="N11" i="3" s="1"/>
  <c r="AI11" i="41"/>
  <c r="Z11" i="41"/>
  <c r="W11" i="41"/>
  <c r="AA11" i="41" s="1"/>
  <c r="T11" i="41"/>
  <c r="U11" i="41"/>
  <c r="N11" i="41"/>
  <c r="H11" i="41"/>
  <c r="O11" i="41" s="1"/>
  <c r="E11" i="41"/>
  <c r="I11" i="41" s="1"/>
  <c r="AM10" i="41"/>
  <c r="N29" i="3" s="1"/>
  <c r="AK10" i="41"/>
  <c r="N10" i="3" s="1"/>
  <c r="AI10" i="41"/>
  <c r="Z10" i="41"/>
  <c r="W10" i="41"/>
  <c r="AA10" i="41" s="1"/>
  <c r="U10" i="41"/>
  <c r="T10" i="41"/>
  <c r="N10" i="41"/>
  <c r="O10" i="41"/>
  <c r="H10" i="41"/>
  <c r="E10" i="41"/>
  <c r="AM9" i="41"/>
  <c r="N28" i="3" s="1"/>
  <c r="AK9" i="41"/>
  <c r="N9" i="3" s="1"/>
  <c r="AI9" i="41"/>
  <c r="Z9" i="41"/>
  <c r="W9" i="41"/>
  <c r="AA9" i="41" s="1"/>
  <c r="T9" i="41"/>
  <c r="U9" i="41"/>
  <c r="N9" i="41"/>
  <c r="O9" i="41"/>
  <c r="H9" i="41"/>
  <c r="E9" i="41"/>
  <c r="AM8" i="41"/>
  <c r="N27" i="3" s="1"/>
  <c r="AK8" i="41"/>
  <c r="N8" i="3" s="1"/>
  <c r="AI8" i="41"/>
  <c r="Z8" i="41"/>
  <c r="W8" i="41"/>
  <c r="AA8" i="41" s="1"/>
  <c r="T8" i="41"/>
  <c r="Q8" i="41"/>
  <c r="Q23" i="41" s="1"/>
  <c r="N8" i="41"/>
  <c r="H8" i="41"/>
  <c r="E8" i="41"/>
  <c r="I8" i="41" s="1"/>
  <c r="AA37" i="40"/>
  <c r="U37" i="40"/>
  <c r="O37" i="40"/>
  <c r="I37" i="40"/>
  <c r="AE23" i="40"/>
  <c r="Y23" i="40"/>
  <c r="X23" i="40"/>
  <c r="V23" i="40"/>
  <c r="S23" i="40"/>
  <c r="R23" i="40"/>
  <c r="P23" i="40"/>
  <c r="M23" i="40"/>
  <c r="L23" i="40"/>
  <c r="J23" i="40"/>
  <c r="G23" i="40"/>
  <c r="F23" i="40"/>
  <c r="D23" i="40"/>
  <c r="AM22" i="40"/>
  <c r="M41" i="3" s="1"/>
  <c r="AK22" i="40"/>
  <c r="M22" i="3" s="1"/>
  <c r="AI22" i="40"/>
  <c r="AG22" i="40"/>
  <c r="AC22" i="40"/>
  <c r="AA22" i="40"/>
  <c r="Z22" i="40"/>
  <c r="U22" i="40"/>
  <c r="T22" i="40"/>
  <c r="O22" i="40"/>
  <c r="N22" i="40"/>
  <c r="I22" i="40"/>
  <c r="H22" i="40"/>
  <c r="AM21" i="40"/>
  <c r="M40" i="3" s="1"/>
  <c r="AK21" i="40"/>
  <c r="M21" i="3" s="1"/>
  <c r="AI21" i="40"/>
  <c r="AG21" i="40"/>
  <c r="AC21" i="40"/>
  <c r="AA21" i="40"/>
  <c r="Z21" i="40"/>
  <c r="U21" i="40"/>
  <c r="T21" i="40"/>
  <c r="O21" i="40"/>
  <c r="N21" i="40"/>
  <c r="I21" i="40"/>
  <c r="H21" i="40"/>
  <c r="AM20" i="40"/>
  <c r="M39" i="3" s="1"/>
  <c r="AK20" i="40"/>
  <c r="M20" i="3" s="1"/>
  <c r="AI20" i="40"/>
  <c r="AG20" i="40"/>
  <c r="AC20" i="40"/>
  <c r="AA20" i="40"/>
  <c r="Z20" i="40"/>
  <c r="U20" i="40"/>
  <c r="T20" i="40"/>
  <c r="O20" i="40"/>
  <c r="N20" i="40"/>
  <c r="I20" i="40"/>
  <c r="H20" i="40"/>
  <c r="AM19" i="40"/>
  <c r="M38" i="3" s="1"/>
  <c r="AK19" i="40"/>
  <c r="M19" i="3" s="1"/>
  <c r="AI19" i="40"/>
  <c r="Z19" i="40"/>
  <c r="W19" i="40"/>
  <c r="AA19" i="40" s="1"/>
  <c r="U19" i="40"/>
  <c r="T19" i="40"/>
  <c r="N19" i="40"/>
  <c r="H19" i="40"/>
  <c r="K19" i="40" s="1"/>
  <c r="O19" i="40" s="1"/>
  <c r="E19" i="40"/>
  <c r="I19" i="40" s="1"/>
  <c r="AM18" i="40"/>
  <c r="M37" i="3" s="1"/>
  <c r="AK18" i="40"/>
  <c r="M18" i="3" s="1"/>
  <c r="AI18" i="40"/>
  <c r="W18" i="40"/>
  <c r="AA18" i="40" s="1"/>
  <c r="T18" i="40"/>
  <c r="Q18" i="40"/>
  <c r="U18" i="40" s="1"/>
  <c r="N18" i="40"/>
  <c r="H18" i="40"/>
  <c r="K18" i="40" s="1"/>
  <c r="O18" i="40" s="1"/>
  <c r="E18" i="40"/>
  <c r="I18" i="40" s="1"/>
  <c r="AM17" i="40"/>
  <c r="M36" i="3" s="1"/>
  <c r="AK17" i="40"/>
  <c r="M17" i="3" s="1"/>
  <c r="AI17" i="40"/>
  <c r="Z17" i="40"/>
  <c r="W17" i="40"/>
  <c r="AA17" i="40" s="1"/>
  <c r="T17" i="40"/>
  <c r="Q17" i="40"/>
  <c r="U17" i="40" s="1"/>
  <c r="N17" i="40"/>
  <c r="H17" i="40"/>
  <c r="K17" i="40" s="1"/>
  <c r="O17" i="40" s="1"/>
  <c r="E17" i="40"/>
  <c r="AM16" i="40"/>
  <c r="M35" i="3" s="1"/>
  <c r="AK16" i="40"/>
  <c r="M16" i="3" s="1"/>
  <c r="AI16" i="40"/>
  <c r="AG16" i="40"/>
  <c r="AC16" i="40"/>
  <c r="AA16" i="40"/>
  <c r="Z16" i="40"/>
  <c r="T16" i="40"/>
  <c r="O16" i="40"/>
  <c r="N16" i="40"/>
  <c r="I16" i="40"/>
  <c r="H16" i="40"/>
  <c r="AM15" i="40"/>
  <c r="M34" i="3" s="1"/>
  <c r="AK15" i="40"/>
  <c r="M15" i="3" s="1"/>
  <c r="AI15" i="40"/>
  <c r="Z15" i="40"/>
  <c r="W15" i="40"/>
  <c r="AA15" i="40" s="1"/>
  <c r="T15" i="40"/>
  <c r="Q15" i="40"/>
  <c r="U15" i="40" s="1"/>
  <c r="N15" i="40"/>
  <c r="H15" i="40"/>
  <c r="K15" i="40" s="1"/>
  <c r="O15" i="40" s="1"/>
  <c r="E15" i="40"/>
  <c r="I15" i="40" s="1"/>
  <c r="AM14" i="40"/>
  <c r="M33" i="3" s="1"/>
  <c r="AK14" i="40"/>
  <c r="M14" i="3" s="1"/>
  <c r="AI14" i="40"/>
  <c r="Z14" i="40"/>
  <c r="W14" i="40"/>
  <c r="AA14" i="40" s="1"/>
  <c r="T14" i="40"/>
  <c r="Q14" i="40"/>
  <c r="U14" i="40" s="1"/>
  <c r="N14" i="40"/>
  <c r="H14" i="40"/>
  <c r="K14" i="40" s="1"/>
  <c r="O14" i="40" s="1"/>
  <c r="E14" i="40"/>
  <c r="AM13" i="40"/>
  <c r="M32" i="3" s="1"/>
  <c r="AK13" i="40"/>
  <c r="M13" i="3" s="1"/>
  <c r="AI13" i="40"/>
  <c r="Z13" i="40"/>
  <c r="W13" i="40"/>
  <c r="AA13" i="40" s="1"/>
  <c r="T13" i="40"/>
  <c r="Q13" i="40"/>
  <c r="U13" i="40" s="1"/>
  <c r="N13" i="40"/>
  <c r="H13" i="40"/>
  <c r="K13" i="40" s="1"/>
  <c r="O13" i="40" s="1"/>
  <c r="E13" i="40"/>
  <c r="I13" i="40" s="1"/>
  <c r="AM12" i="40"/>
  <c r="M31" i="3" s="1"/>
  <c r="AK12" i="40"/>
  <c r="M12" i="3" s="1"/>
  <c r="AI12" i="40"/>
  <c r="Z12" i="40"/>
  <c r="W12" i="40"/>
  <c r="AA12" i="40" s="1"/>
  <c r="T12" i="40"/>
  <c r="Q12" i="40"/>
  <c r="U12" i="40" s="1"/>
  <c r="N12" i="40"/>
  <c r="H12" i="40"/>
  <c r="K12" i="40" s="1"/>
  <c r="O12" i="40" s="1"/>
  <c r="E12" i="40"/>
  <c r="AM11" i="40"/>
  <c r="M30" i="3" s="1"/>
  <c r="AK11" i="40"/>
  <c r="M11" i="3" s="1"/>
  <c r="AI11" i="40"/>
  <c r="Z11" i="40"/>
  <c r="W11" i="40"/>
  <c r="AA11" i="40" s="1"/>
  <c r="T11" i="40"/>
  <c r="Q11" i="40"/>
  <c r="U11" i="40" s="1"/>
  <c r="N11" i="40"/>
  <c r="H11" i="40"/>
  <c r="K11" i="40" s="1"/>
  <c r="O11" i="40" s="1"/>
  <c r="E11" i="40"/>
  <c r="I11" i="40" s="1"/>
  <c r="AM10" i="40"/>
  <c r="M29" i="3" s="1"/>
  <c r="AK10" i="40"/>
  <c r="M10" i="3" s="1"/>
  <c r="AI10" i="40"/>
  <c r="Z10" i="40"/>
  <c r="W10" i="40"/>
  <c r="AA10" i="40" s="1"/>
  <c r="T10" i="40"/>
  <c r="Q10" i="40"/>
  <c r="U10" i="40" s="1"/>
  <c r="N10" i="40"/>
  <c r="H10" i="40"/>
  <c r="K10" i="40" s="1"/>
  <c r="O10" i="40" s="1"/>
  <c r="E10" i="40"/>
  <c r="AM9" i="40"/>
  <c r="M28" i="3" s="1"/>
  <c r="AK9" i="40"/>
  <c r="M9" i="3" s="1"/>
  <c r="AI9" i="40"/>
  <c r="Z9" i="40"/>
  <c r="W9" i="40"/>
  <c r="AA9" i="40" s="1"/>
  <c r="T9" i="40"/>
  <c r="Q9" i="40"/>
  <c r="U9" i="40" s="1"/>
  <c r="N9" i="40"/>
  <c r="H9" i="40"/>
  <c r="K9" i="40" s="1"/>
  <c r="O9" i="40" s="1"/>
  <c r="E9" i="40"/>
  <c r="AM8" i="40"/>
  <c r="M27" i="3" s="1"/>
  <c r="AK8" i="40"/>
  <c r="M8" i="3" s="1"/>
  <c r="AI8" i="40"/>
  <c r="Z8" i="40"/>
  <c r="W8" i="40"/>
  <c r="AA8" i="40" s="1"/>
  <c r="T8" i="40"/>
  <c r="Q8" i="40"/>
  <c r="N8" i="40"/>
  <c r="H8" i="40"/>
  <c r="K8" i="40" s="1"/>
  <c r="E8" i="40"/>
  <c r="L22" i="3"/>
  <c r="L21" i="3"/>
  <c r="L20" i="3"/>
  <c r="L38" i="3"/>
  <c r="L19" i="3"/>
  <c r="L18" i="3"/>
  <c r="L17" i="3"/>
  <c r="L16" i="3"/>
  <c r="L15" i="3"/>
  <c r="L14" i="3"/>
  <c r="L13" i="3"/>
  <c r="L12" i="3"/>
  <c r="L11" i="3"/>
  <c r="L10" i="3"/>
  <c r="L9" i="3"/>
  <c r="L8" i="3"/>
  <c r="K22" i="3"/>
  <c r="K21" i="3"/>
  <c r="K39" i="3"/>
  <c r="K20" i="3"/>
  <c r="K38" i="3"/>
  <c r="K19" i="3"/>
  <c r="K37" i="3"/>
  <c r="K18" i="3"/>
  <c r="K36" i="3"/>
  <c r="K17" i="3"/>
  <c r="K35" i="3"/>
  <c r="K16" i="3"/>
  <c r="K34" i="3"/>
  <c r="K15" i="3"/>
  <c r="K33" i="3"/>
  <c r="K14" i="3"/>
  <c r="K32" i="3"/>
  <c r="K13" i="3"/>
  <c r="K31" i="3"/>
  <c r="K12" i="3"/>
  <c r="K30" i="3"/>
  <c r="K11" i="3"/>
  <c r="K29" i="3"/>
  <c r="K10" i="3"/>
  <c r="K28" i="3"/>
  <c r="K9" i="3"/>
  <c r="K8" i="3"/>
  <c r="AA37" i="35"/>
  <c r="U37" i="35"/>
  <c r="O37" i="35"/>
  <c r="I37" i="35"/>
  <c r="AE23" i="35"/>
  <c r="Y23" i="35"/>
  <c r="X23" i="35"/>
  <c r="V23" i="35"/>
  <c r="S23" i="35"/>
  <c r="R23" i="35"/>
  <c r="P23" i="35"/>
  <c r="M23" i="35"/>
  <c r="L23" i="35"/>
  <c r="J23" i="35"/>
  <c r="G23" i="35"/>
  <c r="F23" i="35"/>
  <c r="D23" i="35"/>
  <c r="AM22" i="35"/>
  <c r="J41" i="3" s="1"/>
  <c r="AK22" i="35"/>
  <c r="J22" i="3" s="1"/>
  <c r="AI22" i="35"/>
  <c r="AG22" i="35"/>
  <c r="AC22" i="35"/>
  <c r="AA22" i="35"/>
  <c r="Z22" i="35"/>
  <c r="U22" i="35"/>
  <c r="T22" i="35"/>
  <c r="O22" i="35"/>
  <c r="N22" i="35"/>
  <c r="I22" i="35"/>
  <c r="H22" i="35"/>
  <c r="AM21" i="35"/>
  <c r="J40" i="3" s="1"/>
  <c r="AK21" i="35"/>
  <c r="J21" i="3" s="1"/>
  <c r="AI21" i="35"/>
  <c r="AG21" i="35"/>
  <c r="AC21" i="35"/>
  <c r="AA21" i="35"/>
  <c r="Z21" i="35"/>
  <c r="U21" i="35"/>
  <c r="T21" i="35"/>
  <c r="O21" i="35"/>
  <c r="N21" i="35"/>
  <c r="I21" i="35"/>
  <c r="H21" i="35"/>
  <c r="AM20" i="35"/>
  <c r="J39" i="3" s="1"/>
  <c r="AK20" i="35"/>
  <c r="J20" i="3" s="1"/>
  <c r="AI20" i="35"/>
  <c r="AG20" i="35"/>
  <c r="AC20" i="35"/>
  <c r="AA20" i="35"/>
  <c r="Z20" i="35"/>
  <c r="U20" i="35"/>
  <c r="T20" i="35"/>
  <c r="O20" i="35"/>
  <c r="N20" i="35"/>
  <c r="I20" i="35"/>
  <c r="H20" i="35"/>
  <c r="AM19" i="35"/>
  <c r="J38" i="3" s="1"/>
  <c r="AK19" i="35"/>
  <c r="J19" i="3" s="1"/>
  <c r="AI19" i="35"/>
  <c r="Z19" i="35"/>
  <c r="W19" i="35"/>
  <c r="AA19" i="35" s="1"/>
  <c r="U19" i="35"/>
  <c r="T19" i="35"/>
  <c r="N19" i="35"/>
  <c r="H19" i="35"/>
  <c r="O19" i="35" s="1"/>
  <c r="E19" i="35"/>
  <c r="I19" i="35" s="1"/>
  <c r="AM18" i="35"/>
  <c r="J37" i="3" s="1"/>
  <c r="AK18" i="35"/>
  <c r="J18" i="3" s="1"/>
  <c r="AI18" i="35"/>
  <c r="Z18" i="35"/>
  <c r="W18" i="35"/>
  <c r="AA18" i="35" s="1"/>
  <c r="T18" i="35"/>
  <c r="Q18" i="35"/>
  <c r="U18" i="35" s="1"/>
  <c r="N18" i="35"/>
  <c r="H18" i="35"/>
  <c r="O18" i="35" s="1"/>
  <c r="E18" i="35"/>
  <c r="AM17" i="35"/>
  <c r="J36" i="3" s="1"/>
  <c r="AK17" i="35"/>
  <c r="J17" i="3" s="1"/>
  <c r="AI17" i="35"/>
  <c r="Z17" i="35"/>
  <c r="W17" i="35"/>
  <c r="AA17" i="35" s="1"/>
  <c r="T17" i="35"/>
  <c r="Q17" i="35"/>
  <c r="U17" i="35" s="1"/>
  <c r="N17" i="35"/>
  <c r="H17" i="35"/>
  <c r="O17" i="35" s="1"/>
  <c r="E17" i="35"/>
  <c r="AM16" i="35"/>
  <c r="J35" i="3" s="1"/>
  <c r="AK16" i="35"/>
  <c r="J16" i="3" s="1"/>
  <c r="AI16" i="35"/>
  <c r="AG16" i="35"/>
  <c r="AC16" i="35"/>
  <c r="AA16" i="35"/>
  <c r="Z16" i="35"/>
  <c r="T16" i="35"/>
  <c r="O16" i="35"/>
  <c r="N16" i="35"/>
  <c r="I16" i="35"/>
  <c r="H16" i="35"/>
  <c r="AM15" i="35"/>
  <c r="J34" i="3" s="1"/>
  <c r="AK15" i="35"/>
  <c r="J15" i="3" s="1"/>
  <c r="AI15" i="35"/>
  <c r="Z15" i="35"/>
  <c r="W15" i="35"/>
  <c r="AA15" i="35" s="1"/>
  <c r="T15" i="35"/>
  <c r="Q15" i="35"/>
  <c r="U15" i="35" s="1"/>
  <c r="N15" i="35"/>
  <c r="H15" i="35"/>
  <c r="O15" i="35" s="1"/>
  <c r="E15" i="35"/>
  <c r="I15" i="35" s="1"/>
  <c r="AM14" i="35"/>
  <c r="J33" i="3" s="1"/>
  <c r="AK14" i="35"/>
  <c r="J14" i="3" s="1"/>
  <c r="AI14" i="35"/>
  <c r="Z14" i="35"/>
  <c r="W14" i="35"/>
  <c r="AA14" i="35" s="1"/>
  <c r="T14" i="35"/>
  <c r="Q14" i="35"/>
  <c r="U14" i="35" s="1"/>
  <c r="N14" i="35"/>
  <c r="O14" i="35"/>
  <c r="H14" i="35"/>
  <c r="E14" i="35"/>
  <c r="AM13" i="35"/>
  <c r="J32" i="3" s="1"/>
  <c r="AK13" i="35"/>
  <c r="J13" i="3" s="1"/>
  <c r="AI13" i="35"/>
  <c r="Z13" i="35"/>
  <c r="W13" i="35"/>
  <c r="AA13" i="35" s="1"/>
  <c r="T13" i="35"/>
  <c r="Q13" i="35"/>
  <c r="U13" i="35" s="1"/>
  <c r="N13" i="35"/>
  <c r="H13" i="35"/>
  <c r="O13" i="35" s="1"/>
  <c r="E13" i="35"/>
  <c r="I13" i="35" s="1"/>
  <c r="AM12" i="35"/>
  <c r="J31" i="3" s="1"/>
  <c r="AK12" i="35"/>
  <c r="J12" i="3" s="1"/>
  <c r="AI12" i="35"/>
  <c r="Z12" i="35"/>
  <c r="W12" i="35"/>
  <c r="AA12" i="35" s="1"/>
  <c r="T12" i="35"/>
  <c r="Q12" i="35"/>
  <c r="U12" i="35" s="1"/>
  <c r="N12" i="35"/>
  <c r="H12" i="35"/>
  <c r="O12" i="35" s="1"/>
  <c r="E12" i="35"/>
  <c r="AM11" i="35"/>
  <c r="J30" i="3" s="1"/>
  <c r="AK11" i="35"/>
  <c r="J11" i="3" s="1"/>
  <c r="AI11" i="35"/>
  <c r="Z11" i="35"/>
  <c r="W11" i="35"/>
  <c r="AA11" i="35" s="1"/>
  <c r="T11" i="35"/>
  <c r="Q11" i="35"/>
  <c r="U11" i="35" s="1"/>
  <c r="N11" i="35"/>
  <c r="H11" i="35"/>
  <c r="O11" i="35" s="1"/>
  <c r="E11" i="35"/>
  <c r="I11" i="35" s="1"/>
  <c r="AM10" i="35"/>
  <c r="J29" i="3" s="1"/>
  <c r="AK10" i="35"/>
  <c r="J10" i="3" s="1"/>
  <c r="AI10" i="35"/>
  <c r="Z10" i="35"/>
  <c r="W10" i="35"/>
  <c r="AA10" i="35" s="1"/>
  <c r="T10" i="35"/>
  <c r="Q10" i="35"/>
  <c r="U10" i="35" s="1"/>
  <c r="N10" i="35"/>
  <c r="O10" i="35"/>
  <c r="H10" i="35"/>
  <c r="E10" i="35"/>
  <c r="AM9" i="35"/>
  <c r="J28" i="3" s="1"/>
  <c r="AK9" i="35"/>
  <c r="J9" i="3" s="1"/>
  <c r="AI9" i="35"/>
  <c r="Z9" i="35"/>
  <c r="W9" i="35"/>
  <c r="AA9" i="35" s="1"/>
  <c r="T9" i="35"/>
  <c r="Q9" i="35"/>
  <c r="U9" i="35" s="1"/>
  <c r="N9" i="35"/>
  <c r="H9" i="35"/>
  <c r="O9" i="35" s="1"/>
  <c r="E9" i="35"/>
  <c r="AM8" i="35"/>
  <c r="J27" i="3" s="1"/>
  <c r="AK8" i="35"/>
  <c r="J8" i="3" s="1"/>
  <c r="AI8" i="35"/>
  <c r="Z8" i="35"/>
  <c r="W8" i="35"/>
  <c r="T8" i="35"/>
  <c r="Q8" i="35"/>
  <c r="U8" i="35" s="1"/>
  <c r="N8" i="35"/>
  <c r="H8" i="35"/>
  <c r="E8" i="35"/>
  <c r="I8" i="35" s="1"/>
  <c r="AA37" i="36"/>
  <c r="U37" i="36"/>
  <c r="O37" i="36"/>
  <c r="I37" i="36"/>
  <c r="AE23" i="36"/>
  <c r="Y23" i="36"/>
  <c r="X23" i="36"/>
  <c r="V23" i="36"/>
  <c r="S23" i="36"/>
  <c r="R23" i="36"/>
  <c r="P23" i="36"/>
  <c r="M23" i="36"/>
  <c r="L23" i="36"/>
  <c r="J23" i="36"/>
  <c r="G23" i="36"/>
  <c r="F23" i="36"/>
  <c r="D23" i="36"/>
  <c r="AM22" i="36"/>
  <c r="I41" i="3" s="1"/>
  <c r="AK22" i="36"/>
  <c r="I22" i="3" s="1"/>
  <c r="AI22" i="36"/>
  <c r="AG22" i="36"/>
  <c r="AC22" i="36"/>
  <c r="AA22" i="36"/>
  <c r="Z22" i="36"/>
  <c r="U22" i="36"/>
  <c r="T22" i="36"/>
  <c r="O22" i="36"/>
  <c r="N22" i="36"/>
  <c r="I22" i="36"/>
  <c r="H22" i="36"/>
  <c r="AM21" i="36"/>
  <c r="I40" i="3" s="1"/>
  <c r="AK21" i="36"/>
  <c r="I21" i="3" s="1"/>
  <c r="AI21" i="36"/>
  <c r="AG21" i="36"/>
  <c r="AC21" i="36"/>
  <c r="AA21" i="36"/>
  <c r="Z21" i="36"/>
  <c r="U21" i="36"/>
  <c r="T21" i="36"/>
  <c r="O21" i="36"/>
  <c r="N21" i="36"/>
  <c r="I21" i="36"/>
  <c r="H21" i="36"/>
  <c r="AM20" i="36"/>
  <c r="I39" i="3" s="1"/>
  <c r="AK20" i="36"/>
  <c r="I20" i="3" s="1"/>
  <c r="AI20" i="36"/>
  <c r="AG20" i="36"/>
  <c r="AC20" i="36"/>
  <c r="AA20" i="36"/>
  <c r="Z20" i="36"/>
  <c r="U20" i="36"/>
  <c r="T20" i="36"/>
  <c r="O20" i="36"/>
  <c r="N20" i="36"/>
  <c r="I20" i="36"/>
  <c r="H20" i="36"/>
  <c r="AM19" i="36"/>
  <c r="I38" i="3" s="1"/>
  <c r="AK19" i="36"/>
  <c r="I19" i="3" s="1"/>
  <c r="AI19" i="36"/>
  <c r="Z19" i="36"/>
  <c r="W19" i="36"/>
  <c r="AA19" i="36" s="1"/>
  <c r="U19" i="36"/>
  <c r="T19" i="36"/>
  <c r="N19" i="36"/>
  <c r="H19" i="36"/>
  <c r="O19" i="36" s="1"/>
  <c r="E19" i="36"/>
  <c r="I19" i="36" s="1"/>
  <c r="AM18" i="36"/>
  <c r="I37" i="3" s="1"/>
  <c r="AK18" i="36"/>
  <c r="I18" i="3" s="1"/>
  <c r="AI18" i="36"/>
  <c r="Z18" i="36"/>
  <c r="W18" i="36"/>
  <c r="AA18" i="36" s="1"/>
  <c r="T18" i="36"/>
  <c r="Q18" i="36"/>
  <c r="U18" i="36" s="1"/>
  <c r="N18" i="36"/>
  <c r="O18" i="36"/>
  <c r="H18" i="36"/>
  <c r="E18" i="36"/>
  <c r="AM17" i="36"/>
  <c r="I36" i="3" s="1"/>
  <c r="AK17" i="36"/>
  <c r="I17" i="3" s="1"/>
  <c r="AI17" i="36"/>
  <c r="Z17" i="36"/>
  <c r="W17" i="36"/>
  <c r="AA17" i="36" s="1"/>
  <c r="T17" i="36"/>
  <c r="Q17" i="36"/>
  <c r="U17" i="36" s="1"/>
  <c r="N17" i="36"/>
  <c r="H17" i="36"/>
  <c r="O17" i="36" s="1"/>
  <c r="E17" i="36"/>
  <c r="AM16" i="36"/>
  <c r="I35" i="3" s="1"/>
  <c r="AK16" i="36"/>
  <c r="I16" i="3" s="1"/>
  <c r="AI16" i="36"/>
  <c r="AG16" i="36"/>
  <c r="AC16" i="36"/>
  <c r="AA16" i="36"/>
  <c r="Z16" i="36"/>
  <c r="T16" i="36"/>
  <c r="O16" i="36"/>
  <c r="N16" i="36"/>
  <c r="I16" i="36"/>
  <c r="H16" i="36"/>
  <c r="AM15" i="36"/>
  <c r="I34" i="3" s="1"/>
  <c r="AK15" i="36"/>
  <c r="I15" i="3" s="1"/>
  <c r="AI15" i="36"/>
  <c r="Z15" i="36"/>
  <c r="W15" i="36"/>
  <c r="AA15" i="36" s="1"/>
  <c r="T15" i="36"/>
  <c r="Q15" i="36"/>
  <c r="U15" i="36" s="1"/>
  <c r="N15" i="36"/>
  <c r="H15" i="36"/>
  <c r="O15" i="36" s="1"/>
  <c r="E15" i="36"/>
  <c r="I15" i="36" s="1"/>
  <c r="AM14" i="36"/>
  <c r="I33" i="3" s="1"/>
  <c r="AK14" i="36"/>
  <c r="I14" i="3" s="1"/>
  <c r="AI14" i="36"/>
  <c r="Z14" i="36"/>
  <c r="W14" i="36"/>
  <c r="AA14" i="36" s="1"/>
  <c r="T14" i="36"/>
  <c r="Q14" i="36"/>
  <c r="U14" i="36" s="1"/>
  <c r="N14" i="36"/>
  <c r="O14" i="36"/>
  <c r="H14" i="36"/>
  <c r="E14" i="36"/>
  <c r="AM13" i="36"/>
  <c r="I32" i="3" s="1"/>
  <c r="AK13" i="36"/>
  <c r="I13" i="3" s="1"/>
  <c r="AI13" i="36"/>
  <c r="Z13" i="36"/>
  <c r="W13" i="36"/>
  <c r="AA13" i="36" s="1"/>
  <c r="T13" i="36"/>
  <c r="Q13" i="36"/>
  <c r="U13" i="36" s="1"/>
  <c r="N13" i="36"/>
  <c r="H13" i="36"/>
  <c r="O13" i="36" s="1"/>
  <c r="E13" i="36"/>
  <c r="I13" i="36" s="1"/>
  <c r="AM12" i="36"/>
  <c r="I31" i="3" s="1"/>
  <c r="AK12" i="36"/>
  <c r="I12" i="3" s="1"/>
  <c r="AI12" i="36"/>
  <c r="Z12" i="36"/>
  <c r="W12" i="36"/>
  <c r="AA12" i="36" s="1"/>
  <c r="T12" i="36"/>
  <c r="Q12" i="36"/>
  <c r="U12" i="36" s="1"/>
  <c r="N12" i="36"/>
  <c r="O12" i="36"/>
  <c r="H12" i="36"/>
  <c r="E12" i="36"/>
  <c r="AM11" i="36"/>
  <c r="I30" i="3" s="1"/>
  <c r="AK11" i="36"/>
  <c r="I11" i="3" s="1"/>
  <c r="AI11" i="36"/>
  <c r="Z11" i="36"/>
  <c r="W11" i="36"/>
  <c r="AA11" i="36" s="1"/>
  <c r="T11" i="36"/>
  <c r="Q11" i="36"/>
  <c r="U11" i="36" s="1"/>
  <c r="N11" i="36"/>
  <c r="H11" i="36"/>
  <c r="O11" i="36" s="1"/>
  <c r="E11" i="36"/>
  <c r="I11" i="36" s="1"/>
  <c r="AM10" i="36"/>
  <c r="I29" i="3" s="1"/>
  <c r="AK10" i="36"/>
  <c r="I10" i="3" s="1"/>
  <c r="AI10" i="36"/>
  <c r="Z10" i="36"/>
  <c r="W10" i="36"/>
  <c r="AA10" i="36" s="1"/>
  <c r="T10" i="36"/>
  <c r="Q10" i="36"/>
  <c r="U10" i="36" s="1"/>
  <c r="N10" i="36"/>
  <c r="O10" i="36"/>
  <c r="H10" i="36"/>
  <c r="E10" i="36"/>
  <c r="AM9" i="36"/>
  <c r="I28" i="3" s="1"/>
  <c r="AK9" i="36"/>
  <c r="I9" i="3" s="1"/>
  <c r="AI9" i="36"/>
  <c r="Z9" i="36"/>
  <c r="W9" i="36"/>
  <c r="AA9" i="36" s="1"/>
  <c r="T9" i="36"/>
  <c r="Q9" i="36"/>
  <c r="U9" i="36" s="1"/>
  <c r="N9" i="36"/>
  <c r="O9" i="36"/>
  <c r="H9" i="36"/>
  <c r="E9" i="36"/>
  <c r="AM8" i="36"/>
  <c r="I27" i="3" s="1"/>
  <c r="AK8" i="36"/>
  <c r="AI8" i="36"/>
  <c r="Z8" i="36"/>
  <c r="W8" i="36"/>
  <c r="AA8" i="36" s="1"/>
  <c r="T8" i="36"/>
  <c r="Q8" i="36"/>
  <c r="N8" i="36"/>
  <c r="H8" i="36"/>
  <c r="E8" i="36"/>
  <c r="E23" i="36" s="1"/>
  <c r="AA37" i="34"/>
  <c r="U37" i="34"/>
  <c r="O37" i="34"/>
  <c r="I37" i="34"/>
  <c r="AE23" i="34"/>
  <c r="Y23" i="34"/>
  <c r="X23" i="34"/>
  <c r="V23" i="34"/>
  <c r="S23" i="34"/>
  <c r="R23" i="34"/>
  <c r="P23" i="34"/>
  <c r="M23" i="34"/>
  <c r="L23" i="34"/>
  <c r="J23" i="34"/>
  <c r="G23" i="34"/>
  <c r="F23" i="34"/>
  <c r="D23" i="34"/>
  <c r="AM22" i="34"/>
  <c r="H41" i="3" s="1"/>
  <c r="AK22" i="34"/>
  <c r="H22" i="3" s="1"/>
  <c r="AI22" i="34"/>
  <c r="AG22" i="34"/>
  <c r="AC22" i="34"/>
  <c r="AA22" i="34"/>
  <c r="Z22" i="34"/>
  <c r="U22" i="34"/>
  <c r="T22" i="34"/>
  <c r="O22" i="34"/>
  <c r="N22" i="34"/>
  <c r="I22" i="34"/>
  <c r="H22" i="34"/>
  <c r="AM21" i="34"/>
  <c r="H40" i="3" s="1"/>
  <c r="AK21" i="34"/>
  <c r="H21" i="3" s="1"/>
  <c r="AI21" i="34"/>
  <c r="AG21" i="34"/>
  <c r="AC21" i="34"/>
  <c r="AA21" i="34"/>
  <c r="Z21" i="34"/>
  <c r="U21" i="34"/>
  <c r="T21" i="34"/>
  <c r="O21" i="34"/>
  <c r="N21" i="34"/>
  <c r="I21" i="34"/>
  <c r="H21" i="34"/>
  <c r="AM20" i="34"/>
  <c r="H39" i="3" s="1"/>
  <c r="AK20" i="34"/>
  <c r="H20" i="3" s="1"/>
  <c r="AI20" i="34"/>
  <c r="AG20" i="34"/>
  <c r="AC20" i="34"/>
  <c r="AA20" i="34"/>
  <c r="Z20" i="34"/>
  <c r="U20" i="34"/>
  <c r="T20" i="34"/>
  <c r="O20" i="34"/>
  <c r="N20" i="34"/>
  <c r="I20" i="34"/>
  <c r="H20" i="34"/>
  <c r="AM19" i="34"/>
  <c r="H38" i="3" s="1"/>
  <c r="AK19" i="34"/>
  <c r="H19" i="3" s="1"/>
  <c r="AI19" i="34"/>
  <c r="Z19" i="34"/>
  <c r="W19" i="34"/>
  <c r="AA19" i="34" s="1"/>
  <c r="U19" i="34"/>
  <c r="T19" i="34"/>
  <c r="N19" i="34"/>
  <c r="H19" i="34"/>
  <c r="O19" i="34" s="1"/>
  <c r="E19" i="34"/>
  <c r="I19" i="34" s="1"/>
  <c r="AM18" i="34"/>
  <c r="H37" i="3" s="1"/>
  <c r="AK18" i="34"/>
  <c r="H18" i="3" s="1"/>
  <c r="AI18" i="34"/>
  <c r="Z18" i="34"/>
  <c r="W18" i="34"/>
  <c r="AA18" i="34" s="1"/>
  <c r="T18" i="34"/>
  <c r="U18" i="34"/>
  <c r="N18" i="34"/>
  <c r="O18" i="34"/>
  <c r="H18" i="34"/>
  <c r="E18" i="34"/>
  <c r="I18" i="34" s="1"/>
  <c r="AM17" i="34"/>
  <c r="H36" i="3" s="1"/>
  <c r="AK17" i="34"/>
  <c r="H17" i="3" s="1"/>
  <c r="AI17" i="34"/>
  <c r="Z17" i="34"/>
  <c r="W17" i="34"/>
  <c r="AA17" i="34" s="1"/>
  <c r="U17" i="34"/>
  <c r="T17" i="34"/>
  <c r="N17" i="34"/>
  <c r="H17" i="34"/>
  <c r="O17" i="34" s="1"/>
  <c r="E17" i="34"/>
  <c r="AM16" i="34"/>
  <c r="H35" i="3" s="1"/>
  <c r="AK16" i="34"/>
  <c r="H16" i="3" s="1"/>
  <c r="AI16" i="34"/>
  <c r="AG16" i="34"/>
  <c r="AC16" i="34"/>
  <c r="AA16" i="34"/>
  <c r="Z16" i="34"/>
  <c r="T16" i="34"/>
  <c r="O16" i="34"/>
  <c r="N16" i="34"/>
  <c r="I16" i="34"/>
  <c r="H16" i="34"/>
  <c r="AM15" i="34"/>
  <c r="H34" i="3" s="1"/>
  <c r="AK15" i="34"/>
  <c r="H15" i="3" s="1"/>
  <c r="AI15" i="34"/>
  <c r="Z15" i="34"/>
  <c r="W15" i="34"/>
  <c r="AA15" i="34" s="1"/>
  <c r="T15" i="34"/>
  <c r="U15" i="34"/>
  <c r="N15" i="34"/>
  <c r="H15" i="34"/>
  <c r="O15" i="34" s="1"/>
  <c r="E15" i="34"/>
  <c r="I15" i="34" s="1"/>
  <c r="AM14" i="34"/>
  <c r="H33" i="3" s="1"/>
  <c r="AK14" i="34"/>
  <c r="H14" i="3" s="1"/>
  <c r="AI14" i="34"/>
  <c r="Z14" i="34"/>
  <c r="W14" i="34"/>
  <c r="AA14" i="34" s="1"/>
  <c r="U14" i="34"/>
  <c r="T14" i="34"/>
  <c r="N14" i="34"/>
  <c r="H14" i="34"/>
  <c r="O14" i="34" s="1"/>
  <c r="E14" i="34"/>
  <c r="AM13" i="34"/>
  <c r="H32" i="3" s="1"/>
  <c r="AK13" i="34"/>
  <c r="H13" i="3" s="1"/>
  <c r="AI13" i="34"/>
  <c r="Z13" i="34"/>
  <c r="W13" i="34"/>
  <c r="AA13" i="34" s="1"/>
  <c r="T13" i="34"/>
  <c r="U13" i="34"/>
  <c r="N13" i="34"/>
  <c r="H13" i="34"/>
  <c r="O13" i="34" s="1"/>
  <c r="E13" i="34"/>
  <c r="I13" i="34" s="1"/>
  <c r="AM12" i="34"/>
  <c r="H31" i="3" s="1"/>
  <c r="AK12" i="34"/>
  <c r="H12" i="3" s="1"/>
  <c r="AI12" i="34"/>
  <c r="Z12" i="34"/>
  <c r="AA12" i="34"/>
  <c r="U12" i="34"/>
  <c r="T12" i="34"/>
  <c r="N12" i="34"/>
  <c r="H12" i="34"/>
  <c r="O12" i="34" s="1"/>
  <c r="E12" i="34"/>
  <c r="AM11" i="34"/>
  <c r="H30" i="3" s="1"/>
  <c r="AK11" i="34"/>
  <c r="H11" i="3" s="1"/>
  <c r="AI11" i="34"/>
  <c r="Z11" i="34"/>
  <c r="W11" i="34"/>
  <c r="AA11" i="34" s="1"/>
  <c r="T11" i="34"/>
  <c r="U11" i="34"/>
  <c r="N11" i="34"/>
  <c r="H11" i="34"/>
  <c r="O11" i="34" s="1"/>
  <c r="E11" i="34"/>
  <c r="I11" i="34" s="1"/>
  <c r="AM10" i="34"/>
  <c r="H29" i="3" s="1"/>
  <c r="AK10" i="34"/>
  <c r="H10" i="3" s="1"/>
  <c r="AI10" i="34"/>
  <c r="Z10" i="34"/>
  <c r="W10" i="34"/>
  <c r="AA10" i="34" s="1"/>
  <c r="U10" i="34"/>
  <c r="T10" i="34"/>
  <c r="N10" i="34"/>
  <c r="O10" i="34"/>
  <c r="H10" i="34"/>
  <c r="E10" i="34"/>
  <c r="AM9" i="34"/>
  <c r="H28" i="3" s="1"/>
  <c r="AK9" i="34"/>
  <c r="H9" i="3" s="1"/>
  <c r="AI9" i="34"/>
  <c r="Z9" i="34"/>
  <c r="W9" i="34"/>
  <c r="AA9" i="34" s="1"/>
  <c r="U9" i="34"/>
  <c r="T9" i="34"/>
  <c r="N9" i="34"/>
  <c r="H9" i="34"/>
  <c r="O9" i="34" s="1"/>
  <c r="E9" i="34"/>
  <c r="AM8" i="34"/>
  <c r="H27" i="3" s="1"/>
  <c r="AK8" i="34"/>
  <c r="H8" i="3" s="1"/>
  <c r="AI8" i="34"/>
  <c r="Z8" i="34"/>
  <c r="W8" i="34"/>
  <c r="AA8" i="34" s="1"/>
  <c r="T8" i="34"/>
  <c r="Q8" i="34"/>
  <c r="Q23" i="34" s="1"/>
  <c r="N8" i="34"/>
  <c r="H8" i="34"/>
  <c r="E8" i="34"/>
  <c r="AA37" i="33"/>
  <c r="U37" i="33"/>
  <c r="O37" i="33"/>
  <c r="I37" i="33"/>
  <c r="AE23" i="33"/>
  <c r="Y23" i="33"/>
  <c r="X23" i="33"/>
  <c r="V23" i="33"/>
  <c r="S23" i="33"/>
  <c r="R23" i="33"/>
  <c r="P23" i="33"/>
  <c r="M23" i="33"/>
  <c r="L23" i="33"/>
  <c r="J23" i="33"/>
  <c r="G23" i="33"/>
  <c r="F23" i="33"/>
  <c r="D23" i="33"/>
  <c r="AM22" i="33"/>
  <c r="G41" i="3" s="1"/>
  <c r="AK22" i="33"/>
  <c r="G22" i="3" s="1"/>
  <c r="AI22" i="33"/>
  <c r="AG22" i="33"/>
  <c r="AC22" i="33"/>
  <c r="AA22" i="33"/>
  <c r="Z22" i="33"/>
  <c r="O22" i="33"/>
  <c r="N22" i="33"/>
  <c r="I22" i="33"/>
  <c r="H22" i="33"/>
  <c r="AM21" i="33"/>
  <c r="G40" i="3" s="1"/>
  <c r="AK21" i="33"/>
  <c r="G21" i="3" s="1"/>
  <c r="AI21" i="33"/>
  <c r="AG21" i="33"/>
  <c r="AA21" i="33"/>
  <c r="Z21" i="33"/>
  <c r="U21" i="33"/>
  <c r="T21" i="33"/>
  <c r="O21" i="33"/>
  <c r="N21" i="33"/>
  <c r="I21" i="33"/>
  <c r="H21" i="33"/>
  <c r="AM20" i="33"/>
  <c r="G39" i="3" s="1"/>
  <c r="AK20" i="33"/>
  <c r="G20" i="3" s="1"/>
  <c r="AI20" i="33"/>
  <c r="AG20" i="33"/>
  <c r="AC20" i="33"/>
  <c r="AA20" i="33"/>
  <c r="Z20" i="33"/>
  <c r="U20" i="33"/>
  <c r="T20" i="33"/>
  <c r="O20" i="33"/>
  <c r="N20" i="33"/>
  <c r="I20" i="33"/>
  <c r="H20" i="33"/>
  <c r="AM19" i="33"/>
  <c r="G38" i="3" s="1"/>
  <c r="AK19" i="33"/>
  <c r="G19" i="3" s="1"/>
  <c r="AI19" i="33"/>
  <c r="Z19" i="33"/>
  <c r="W19" i="33"/>
  <c r="AA19" i="33" s="1"/>
  <c r="U19" i="33"/>
  <c r="T19" i="33"/>
  <c r="N19" i="33"/>
  <c r="H19" i="33"/>
  <c r="O19" i="33" s="1"/>
  <c r="E19" i="33"/>
  <c r="I19" i="33" s="1"/>
  <c r="AM18" i="33"/>
  <c r="G37" i="3" s="1"/>
  <c r="AK18" i="33"/>
  <c r="G18" i="3" s="1"/>
  <c r="AI18" i="33"/>
  <c r="Z18" i="33"/>
  <c r="W18" i="33"/>
  <c r="AA18" i="33" s="1"/>
  <c r="T18" i="33"/>
  <c r="Q18" i="33"/>
  <c r="U18" i="33" s="1"/>
  <c r="N18" i="33"/>
  <c r="O18" i="33"/>
  <c r="H18" i="33"/>
  <c r="E18" i="33"/>
  <c r="AM17" i="33"/>
  <c r="G36" i="3" s="1"/>
  <c r="AK17" i="33"/>
  <c r="G17" i="3" s="1"/>
  <c r="AI17" i="33"/>
  <c r="Z17" i="33"/>
  <c r="W17" i="33"/>
  <c r="AA17" i="33" s="1"/>
  <c r="T17" i="33"/>
  <c r="Q17" i="33"/>
  <c r="U17" i="33" s="1"/>
  <c r="N17" i="33"/>
  <c r="H17" i="33"/>
  <c r="O17" i="33" s="1"/>
  <c r="E17" i="33"/>
  <c r="AM16" i="33"/>
  <c r="G35" i="3" s="1"/>
  <c r="AK16" i="33"/>
  <c r="G16" i="3" s="1"/>
  <c r="AI16" i="33"/>
  <c r="AG16" i="33"/>
  <c r="AC16" i="33"/>
  <c r="AA16" i="33"/>
  <c r="Z16" i="33"/>
  <c r="T16" i="33"/>
  <c r="O16" i="33"/>
  <c r="N16" i="33"/>
  <c r="I16" i="33"/>
  <c r="H16" i="33"/>
  <c r="AM15" i="33"/>
  <c r="G34" i="3" s="1"/>
  <c r="AK15" i="33"/>
  <c r="G15" i="3" s="1"/>
  <c r="AI15" i="33"/>
  <c r="Z15" i="33"/>
  <c r="W15" i="33"/>
  <c r="AA15" i="33" s="1"/>
  <c r="T15" i="33"/>
  <c r="Q15" i="33"/>
  <c r="U15" i="33" s="1"/>
  <c r="N15" i="33"/>
  <c r="H15" i="33"/>
  <c r="O15" i="33" s="1"/>
  <c r="E15" i="33"/>
  <c r="I15" i="33" s="1"/>
  <c r="AM14" i="33"/>
  <c r="G33" i="3" s="1"/>
  <c r="AK14" i="33"/>
  <c r="G14" i="3" s="1"/>
  <c r="AI14" i="33"/>
  <c r="Z14" i="33"/>
  <c r="W14" i="33"/>
  <c r="AA14" i="33" s="1"/>
  <c r="T14" i="33"/>
  <c r="Q14" i="33"/>
  <c r="U14" i="33" s="1"/>
  <c r="N14" i="33"/>
  <c r="O14" i="33"/>
  <c r="H14" i="33"/>
  <c r="E14" i="33"/>
  <c r="AM13" i="33"/>
  <c r="G32" i="3" s="1"/>
  <c r="AK13" i="33"/>
  <c r="G13" i="3" s="1"/>
  <c r="AI13" i="33"/>
  <c r="Z13" i="33"/>
  <c r="W13" i="33"/>
  <c r="AA13" i="33" s="1"/>
  <c r="T13" i="33"/>
  <c r="Q13" i="33"/>
  <c r="U13" i="33" s="1"/>
  <c r="N13" i="33"/>
  <c r="H13" i="33"/>
  <c r="O13" i="33" s="1"/>
  <c r="E13" i="33"/>
  <c r="AM12" i="33"/>
  <c r="G31" i="3" s="1"/>
  <c r="AK12" i="33"/>
  <c r="G12" i="3" s="1"/>
  <c r="AI12" i="33"/>
  <c r="Z12" i="33"/>
  <c r="W12" i="33"/>
  <c r="AA12" i="33" s="1"/>
  <c r="T12" i="33"/>
  <c r="Q12" i="33"/>
  <c r="U12" i="33" s="1"/>
  <c r="N12" i="33"/>
  <c r="O12" i="33"/>
  <c r="H12" i="33"/>
  <c r="E12" i="33"/>
  <c r="AC12" i="33" s="1"/>
  <c r="AM11" i="33"/>
  <c r="G30" i="3" s="1"/>
  <c r="AK11" i="33"/>
  <c r="G11" i="3" s="1"/>
  <c r="AI11" i="33"/>
  <c r="Z11" i="33"/>
  <c r="W11" i="33"/>
  <c r="AA11" i="33" s="1"/>
  <c r="T11" i="33"/>
  <c r="Q11" i="33"/>
  <c r="U11" i="33" s="1"/>
  <c r="N11" i="33"/>
  <c r="H11" i="33"/>
  <c r="O11" i="33" s="1"/>
  <c r="E11" i="33"/>
  <c r="I11" i="33" s="1"/>
  <c r="AM10" i="33"/>
  <c r="G29" i="3" s="1"/>
  <c r="AK10" i="33"/>
  <c r="G10" i="3" s="1"/>
  <c r="AI10" i="33"/>
  <c r="Z10" i="33"/>
  <c r="W10" i="33"/>
  <c r="AA10" i="33" s="1"/>
  <c r="T10" i="33"/>
  <c r="Q10" i="33"/>
  <c r="U10" i="33" s="1"/>
  <c r="N10" i="33"/>
  <c r="O10" i="33"/>
  <c r="H10" i="33"/>
  <c r="E10" i="33"/>
  <c r="AM9" i="33"/>
  <c r="G28" i="3" s="1"/>
  <c r="AK9" i="33"/>
  <c r="G9" i="3" s="1"/>
  <c r="AI9" i="33"/>
  <c r="Z9" i="33"/>
  <c r="W9" i="33"/>
  <c r="AA9" i="33" s="1"/>
  <c r="T9" i="33"/>
  <c r="Q9" i="33"/>
  <c r="U9" i="33" s="1"/>
  <c r="N9" i="33"/>
  <c r="O9" i="33"/>
  <c r="H9" i="33"/>
  <c r="E9" i="33"/>
  <c r="AC9" i="33" s="1"/>
  <c r="AM8" i="33"/>
  <c r="AK8" i="33"/>
  <c r="G8" i="3" s="1"/>
  <c r="AI8" i="33"/>
  <c r="Z8" i="33"/>
  <c r="W8" i="33"/>
  <c r="AA8" i="33" s="1"/>
  <c r="T8" i="33"/>
  <c r="Q8" i="33"/>
  <c r="N8" i="33"/>
  <c r="H8" i="33"/>
  <c r="E8" i="33"/>
  <c r="AA37" i="32"/>
  <c r="U37" i="32"/>
  <c r="O37" i="32"/>
  <c r="I37" i="32"/>
  <c r="AE23" i="32"/>
  <c r="Y23" i="32"/>
  <c r="X23" i="32"/>
  <c r="V23" i="32"/>
  <c r="S23" i="32"/>
  <c r="R23" i="32"/>
  <c r="P23" i="32"/>
  <c r="M23" i="32"/>
  <c r="L23" i="32"/>
  <c r="J23" i="32"/>
  <c r="G23" i="32"/>
  <c r="F23" i="32"/>
  <c r="D23" i="32"/>
  <c r="AM22" i="32"/>
  <c r="F41" i="3" s="1"/>
  <c r="AK22" i="32"/>
  <c r="F22" i="3" s="1"/>
  <c r="AI22" i="32"/>
  <c r="AG22" i="32"/>
  <c r="AC22" i="32"/>
  <c r="AA22" i="32"/>
  <c r="Z22" i="32"/>
  <c r="U22" i="32"/>
  <c r="T22" i="32"/>
  <c r="O22" i="32"/>
  <c r="N22" i="32"/>
  <c r="I22" i="32"/>
  <c r="H22" i="32"/>
  <c r="AM21" i="32"/>
  <c r="F40" i="3" s="1"/>
  <c r="AK21" i="32"/>
  <c r="F21" i="3" s="1"/>
  <c r="AG21" i="32"/>
  <c r="AC21" i="32"/>
  <c r="AA21" i="32"/>
  <c r="Z21" i="32"/>
  <c r="U21" i="32"/>
  <c r="T21" i="32"/>
  <c r="O21" i="32"/>
  <c r="N21" i="32"/>
  <c r="I21" i="32"/>
  <c r="H21" i="32"/>
  <c r="AM20" i="32"/>
  <c r="F39" i="3" s="1"/>
  <c r="AK20" i="32"/>
  <c r="F20" i="3" s="1"/>
  <c r="AI20" i="32"/>
  <c r="AG20" i="32"/>
  <c r="AC20" i="32"/>
  <c r="AA20" i="32"/>
  <c r="Z20" i="32"/>
  <c r="U20" i="32"/>
  <c r="T20" i="32"/>
  <c r="O20" i="32"/>
  <c r="N20" i="32"/>
  <c r="I20" i="32"/>
  <c r="H20" i="32"/>
  <c r="AM19" i="32"/>
  <c r="F38" i="3" s="1"/>
  <c r="AK19" i="32"/>
  <c r="F19" i="3" s="1"/>
  <c r="AI19" i="32"/>
  <c r="Z19" i="32"/>
  <c r="W19" i="32"/>
  <c r="AA19" i="32" s="1"/>
  <c r="U19" i="32"/>
  <c r="T19" i="32"/>
  <c r="N19" i="32"/>
  <c r="H19" i="32"/>
  <c r="K19" i="32" s="1"/>
  <c r="O19" i="32" s="1"/>
  <c r="E19" i="32"/>
  <c r="I19" i="32" s="1"/>
  <c r="AM18" i="32"/>
  <c r="F37" i="3" s="1"/>
  <c r="AK18" i="32"/>
  <c r="F18" i="3" s="1"/>
  <c r="AI18" i="32"/>
  <c r="Z18" i="32"/>
  <c r="W18" i="32"/>
  <c r="AA18" i="32" s="1"/>
  <c r="T18" i="32"/>
  <c r="Q18" i="32"/>
  <c r="U18" i="32" s="1"/>
  <c r="N18" i="32"/>
  <c r="H18" i="32"/>
  <c r="K18" i="32" s="1"/>
  <c r="O18" i="32" s="1"/>
  <c r="E18" i="32"/>
  <c r="I18" i="32" s="1"/>
  <c r="AM17" i="32"/>
  <c r="F36" i="3" s="1"/>
  <c r="AK17" i="32"/>
  <c r="F17" i="3" s="1"/>
  <c r="AI17" i="32"/>
  <c r="Z17" i="32"/>
  <c r="W17" i="32"/>
  <c r="AA17" i="32" s="1"/>
  <c r="T17" i="32"/>
  <c r="Q17" i="32"/>
  <c r="U17" i="32" s="1"/>
  <c r="N17" i="32"/>
  <c r="H17" i="32"/>
  <c r="K17" i="32" s="1"/>
  <c r="O17" i="32" s="1"/>
  <c r="E17" i="32"/>
  <c r="AM16" i="32"/>
  <c r="F35" i="3" s="1"/>
  <c r="AK16" i="32"/>
  <c r="F16" i="3" s="1"/>
  <c r="AI16" i="32"/>
  <c r="AG16" i="32"/>
  <c r="AC16" i="32"/>
  <c r="AA16" i="32"/>
  <c r="Z16" i="32"/>
  <c r="T16" i="32"/>
  <c r="O16" i="32"/>
  <c r="N16" i="32"/>
  <c r="I16" i="32"/>
  <c r="H16" i="32"/>
  <c r="AM15" i="32"/>
  <c r="F34" i="3" s="1"/>
  <c r="AK15" i="32"/>
  <c r="F15" i="3" s="1"/>
  <c r="AI15" i="32"/>
  <c r="Z15" i="32"/>
  <c r="W15" i="32"/>
  <c r="AA15" i="32" s="1"/>
  <c r="T15" i="32"/>
  <c r="Q15" i="32"/>
  <c r="U15" i="32" s="1"/>
  <c r="N15" i="32"/>
  <c r="H15" i="32"/>
  <c r="K15" i="32" s="1"/>
  <c r="O15" i="32" s="1"/>
  <c r="E15" i="32"/>
  <c r="I15" i="32" s="1"/>
  <c r="AM14" i="32"/>
  <c r="F33" i="3" s="1"/>
  <c r="AK14" i="32"/>
  <c r="F14" i="3" s="1"/>
  <c r="AI14" i="32"/>
  <c r="Z14" i="32"/>
  <c r="W14" i="32"/>
  <c r="AA14" i="32" s="1"/>
  <c r="T14" i="32"/>
  <c r="Q14" i="32"/>
  <c r="U14" i="32" s="1"/>
  <c r="N14" i="32"/>
  <c r="H14" i="32"/>
  <c r="K14" i="32" s="1"/>
  <c r="O14" i="32" s="1"/>
  <c r="E14" i="32"/>
  <c r="AM13" i="32"/>
  <c r="F32" i="3" s="1"/>
  <c r="AK13" i="32"/>
  <c r="F13" i="3" s="1"/>
  <c r="AI13" i="32"/>
  <c r="Z13" i="32"/>
  <c r="W13" i="32"/>
  <c r="AA13" i="32" s="1"/>
  <c r="T13" i="32"/>
  <c r="Q13" i="32"/>
  <c r="U13" i="32" s="1"/>
  <c r="N13" i="32"/>
  <c r="H13" i="32"/>
  <c r="K13" i="32" s="1"/>
  <c r="O13" i="32" s="1"/>
  <c r="E13" i="32"/>
  <c r="I13" i="32" s="1"/>
  <c r="AM12" i="32"/>
  <c r="F31" i="3" s="1"/>
  <c r="AK12" i="32"/>
  <c r="F12" i="3" s="1"/>
  <c r="AI12" i="32"/>
  <c r="Z12" i="32"/>
  <c r="W12" i="32"/>
  <c r="AA12" i="32" s="1"/>
  <c r="T12" i="32"/>
  <c r="Q12" i="32"/>
  <c r="U12" i="32" s="1"/>
  <c r="N12" i="32"/>
  <c r="H12" i="32"/>
  <c r="K12" i="32" s="1"/>
  <c r="O12" i="32" s="1"/>
  <c r="E12" i="32"/>
  <c r="AM11" i="32"/>
  <c r="F30" i="3" s="1"/>
  <c r="AK11" i="32"/>
  <c r="F11" i="3" s="1"/>
  <c r="AI11" i="32"/>
  <c r="Z11" i="32"/>
  <c r="AA11" i="32"/>
  <c r="T11" i="32"/>
  <c r="Q11" i="32"/>
  <c r="U11" i="32" s="1"/>
  <c r="N11" i="32"/>
  <c r="H11" i="32"/>
  <c r="K11" i="32" s="1"/>
  <c r="O11" i="32" s="1"/>
  <c r="E11" i="32"/>
  <c r="I11" i="32" s="1"/>
  <c r="AM10" i="32"/>
  <c r="F29" i="3" s="1"/>
  <c r="AK10" i="32"/>
  <c r="F10" i="3" s="1"/>
  <c r="AI10" i="32"/>
  <c r="Z10" i="32"/>
  <c r="W10" i="32"/>
  <c r="AA10" i="32" s="1"/>
  <c r="T10" i="32"/>
  <c r="Q10" i="32"/>
  <c r="U10" i="32" s="1"/>
  <c r="N10" i="32"/>
  <c r="H10" i="32"/>
  <c r="K10" i="32" s="1"/>
  <c r="O10" i="32" s="1"/>
  <c r="E10" i="32"/>
  <c r="AM9" i="32"/>
  <c r="F28" i="3" s="1"/>
  <c r="AK9" i="32"/>
  <c r="F9" i="3" s="1"/>
  <c r="AI9" i="32"/>
  <c r="Z9" i="32"/>
  <c r="W9" i="32"/>
  <c r="AA9" i="32" s="1"/>
  <c r="T9" i="32"/>
  <c r="Q9" i="32"/>
  <c r="U9" i="32" s="1"/>
  <c r="N9" i="32"/>
  <c r="H9" i="32"/>
  <c r="K9" i="32" s="1"/>
  <c r="O9" i="32" s="1"/>
  <c r="E9" i="32"/>
  <c r="AM8" i="32"/>
  <c r="F27" i="3" s="1"/>
  <c r="AK8" i="32"/>
  <c r="F8" i="3" s="1"/>
  <c r="AI8" i="32"/>
  <c r="Z8" i="32"/>
  <c r="W8" i="32"/>
  <c r="T8" i="32"/>
  <c r="Q8" i="32"/>
  <c r="U8" i="32" s="1"/>
  <c r="N8" i="32"/>
  <c r="H8" i="32"/>
  <c r="E8" i="32"/>
  <c r="I8" i="32" s="1"/>
  <c r="AC18" i="41" l="1"/>
  <c r="AC10" i="41"/>
  <c r="E23" i="40"/>
  <c r="E23" i="34"/>
  <c r="AC18" i="36"/>
  <c r="AC14" i="36"/>
  <c r="Q23" i="33"/>
  <c r="R24" i="36"/>
  <c r="S24" i="36"/>
  <c r="W24" i="34"/>
  <c r="V24" i="34"/>
  <c r="AC37" i="33"/>
  <c r="AC37" i="35"/>
  <c r="AC37" i="40"/>
  <c r="V24" i="32"/>
  <c r="V24" i="33"/>
  <c r="W24" i="32"/>
  <c r="W24" i="33"/>
  <c r="I13" i="33"/>
  <c r="AC13" i="33"/>
  <c r="I8" i="34"/>
  <c r="I18" i="36"/>
  <c r="AC37" i="32"/>
  <c r="E23" i="33"/>
  <c r="AC12" i="36"/>
  <c r="I8" i="40"/>
  <c r="AG17" i="41"/>
  <c r="I18" i="33"/>
  <c r="I8" i="36"/>
  <c r="AC18" i="35"/>
  <c r="I18" i="35"/>
  <c r="I18" i="41"/>
  <c r="AG10" i="35"/>
  <c r="AG12" i="35"/>
  <c r="AG14" i="35"/>
  <c r="AG17" i="36"/>
  <c r="E23" i="41"/>
  <c r="AG17" i="40"/>
  <c r="AM23" i="40"/>
  <c r="AC18" i="40"/>
  <c r="AC10" i="40"/>
  <c r="AC14" i="40"/>
  <c r="AC9" i="40"/>
  <c r="AC12" i="40"/>
  <c r="K27" i="3"/>
  <c r="AG17" i="35"/>
  <c r="N23" i="33"/>
  <c r="I8" i="33"/>
  <c r="T23" i="36"/>
  <c r="AC10" i="36"/>
  <c r="AC9" i="36"/>
  <c r="AK23" i="36"/>
  <c r="I8" i="3"/>
  <c r="AG17" i="34"/>
  <c r="AC9" i="34"/>
  <c r="AC10" i="34"/>
  <c r="AC14" i="34"/>
  <c r="AC10" i="33"/>
  <c r="AC14" i="33"/>
  <c r="AG17" i="33"/>
  <c r="AM23" i="33"/>
  <c r="G27" i="3"/>
  <c r="N23" i="41"/>
  <c r="AA23" i="41"/>
  <c r="Z23" i="41"/>
  <c r="T23" i="41"/>
  <c r="S24" i="41"/>
  <c r="AC9" i="41"/>
  <c r="AM23" i="41"/>
  <c r="N23" i="40"/>
  <c r="Z23" i="40"/>
  <c r="AA23" i="40"/>
  <c r="AK23" i="40"/>
  <c r="S24" i="40"/>
  <c r="Q23" i="40"/>
  <c r="T23" i="40"/>
  <c r="AK23" i="41"/>
  <c r="R24" i="41"/>
  <c r="R24" i="40"/>
  <c r="T23" i="35"/>
  <c r="N23" i="35"/>
  <c r="S24" i="35"/>
  <c r="Z23" i="35"/>
  <c r="AM23" i="35"/>
  <c r="AK23" i="35"/>
  <c r="R24" i="35"/>
  <c r="AA23" i="36"/>
  <c r="Z23" i="36"/>
  <c r="AM23" i="36"/>
  <c r="Q23" i="36"/>
  <c r="AC37" i="36"/>
  <c r="N23" i="36"/>
  <c r="T23" i="34"/>
  <c r="N23" i="34"/>
  <c r="AK23" i="34"/>
  <c r="AM23" i="34"/>
  <c r="Z23" i="34"/>
  <c r="AA23" i="34"/>
  <c r="AC37" i="34"/>
  <c r="AC18" i="34"/>
  <c r="AC12" i="34"/>
  <c r="Z23" i="33"/>
  <c r="AA23" i="33"/>
  <c r="T23" i="33"/>
  <c r="AK23" i="33"/>
  <c r="T23" i="32"/>
  <c r="AK23" i="32"/>
  <c r="AG10" i="32"/>
  <c r="Z23" i="32"/>
  <c r="AG14" i="32"/>
  <c r="N23" i="32"/>
  <c r="AM23" i="32"/>
  <c r="AG17" i="32"/>
  <c r="AC18" i="32"/>
  <c r="AG12" i="32"/>
  <c r="K23" i="41"/>
  <c r="O8" i="41"/>
  <c r="O23" i="41" s="1"/>
  <c r="AC8" i="41"/>
  <c r="AC11" i="41"/>
  <c r="AG18" i="41"/>
  <c r="W23" i="41"/>
  <c r="AG8" i="41"/>
  <c r="AG11" i="41"/>
  <c r="H23" i="41"/>
  <c r="U8" i="41"/>
  <c r="U23" i="41" s="1"/>
  <c r="I9" i="41"/>
  <c r="AG9" i="41"/>
  <c r="I10" i="41"/>
  <c r="AG10" i="41"/>
  <c r="I12" i="41"/>
  <c r="AG12" i="41"/>
  <c r="I14" i="41"/>
  <c r="AG14" i="41"/>
  <c r="AC13" i="41"/>
  <c r="AC15" i="41"/>
  <c r="AC19" i="41"/>
  <c r="AG13" i="41"/>
  <c r="AG15" i="41"/>
  <c r="AC17" i="41"/>
  <c r="AG19" i="41"/>
  <c r="I17" i="41"/>
  <c r="K23" i="40"/>
  <c r="O8" i="40"/>
  <c r="O23" i="40" s="1"/>
  <c r="AC11" i="40"/>
  <c r="AG18" i="40"/>
  <c r="W23" i="40"/>
  <c r="AG15" i="40"/>
  <c r="AG19" i="40"/>
  <c r="U8" i="40"/>
  <c r="U23" i="40" s="1"/>
  <c r="I9" i="40"/>
  <c r="AG9" i="40"/>
  <c r="I10" i="40"/>
  <c r="AG10" i="40"/>
  <c r="I12" i="40"/>
  <c r="AG12" i="40"/>
  <c r="I14" i="40"/>
  <c r="AG14" i="40"/>
  <c r="AC8" i="40"/>
  <c r="AC13" i="40"/>
  <c r="AC15" i="40"/>
  <c r="AC19" i="40"/>
  <c r="AG8" i="40"/>
  <c r="AG11" i="40"/>
  <c r="AG13" i="40"/>
  <c r="AC17" i="40"/>
  <c r="H23" i="40"/>
  <c r="I17" i="40"/>
  <c r="H23" i="35"/>
  <c r="U23" i="35"/>
  <c r="AA8" i="35"/>
  <c r="AA23" i="35" s="1"/>
  <c r="AG8" i="35"/>
  <c r="W23" i="35"/>
  <c r="AG9" i="35"/>
  <c r="AC11" i="35"/>
  <c r="AC13" i="35"/>
  <c r="AC15" i="35"/>
  <c r="AG18" i="35"/>
  <c r="AC19" i="35"/>
  <c r="AG11" i="35"/>
  <c r="AG13" i="35"/>
  <c r="AG15" i="35"/>
  <c r="AC17" i="35"/>
  <c r="AG19" i="35"/>
  <c r="AC9" i="35"/>
  <c r="AC10" i="35"/>
  <c r="AC12" i="35"/>
  <c r="AC14" i="35"/>
  <c r="I17" i="35"/>
  <c r="E23" i="35"/>
  <c r="Q23" i="35"/>
  <c r="I9" i="35"/>
  <c r="I10" i="35"/>
  <c r="I12" i="35"/>
  <c r="I14" i="35"/>
  <c r="O8" i="36"/>
  <c r="O23" i="36" s="1"/>
  <c r="K23" i="36"/>
  <c r="AC13" i="36"/>
  <c r="AC15" i="36"/>
  <c r="AG18" i="36"/>
  <c r="AC19" i="36"/>
  <c r="W23" i="36"/>
  <c r="AG13" i="36"/>
  <c r="U8" i="36"/>
  <c r="U23" i="36" s="1"/>
  <c r="I9" i="36"/>
  <c r="AG9" i="36"/>
  <c r="I10" i="36"/>
  <c r="AG10" i="36"/>
  <c r="I12" i="36"/>
  <c r="AG12" i="36"/>
  <c r="I14" i="36"/>
  <c r="AG14" i="36"/>
  <c r="AC8" i="36"/>
  <c r="AC11" i="36"/>
  <c r="AG8" i="36"/>
  <c r="AG11" i="36"/>
  <c r="AG15" i="36"/>
  <c r="AC17" i="36"/>
  <c r="AG19" i="36"/>
  <c r="H23" i="36"/>
  <c r="I17" i="36"/>
  <c r="AC8" i="34"/>
  <c r="K23" i="34"/>
  <c r="O8" i="34"/>
  <c r="O23" i="34" s="1"/>
  <c r="AC11" i="34"/>
  <c r="AC13" i="34"/>
  <c r="AC15" i="34"/>
  <c r="AC19" i="34"/>
  <c r="W23" i="34"/>
  <c r="AG11" i="34"/>
  <c r="AG15" i="34"/>
  <c r="AC17" i="34"/>
  <c r="AG19" i="34"/>
  <c r="H23" i="34"/>
  <c r="U8" i="34"/>
  <c r="U23" i="34" s="1"/>
  <c r="I9" i="34"/>
  <c r="AG9" i="34"/>
  <c r="I10" i="34"/>
  <c r="AG10" i="34"/>
  <c r="I12" i="34"/>
  <c r="AG12" i="34"/>
  <c r="I14" i="34"/>
  <c r="AG14" i="34"/>
  <c r="AG18" i="34"/>
  <c r="AG8" i="34"/>
  <c r="AG13" i="34"/>
  <c r="I17" i="34"/>
  <c r="K23" i="33"/>
  <c r="O8" i="33"/>
  <c r="O23" i="33" s="1"/>
  <c r="W23" i="33"/>
  <c r="AG8" i="33"/>
  <c r="AG11" i="33"/>
  <c r="AG19" i="33"/>
  <c r="H23" i="33"/>
  <c r="U8" i="33"/>
  <c r="U23" i="33" s="1"/>
  <c r="I9" i="33"/>
  <c r="AG9" i="33"/>
  <c r="I10" i="33"/>
  <c r="AG10" i="33"/>
  <c r="I12" i="33"/>
  <c r="AG12" i="33"/>
  <c r="I14" i="33"/>
  <c r="AG14" i="33"/>
  <c r="AC8" i="33"/>
  <c r="AC11" i="33"/>
  <c r="AC15" i="33"/>
  <c r="AG18" i="33"/>
  <c r="AG13" i="33"/>
  <c r="AG15" i="33"/>
  <c r="AC17" i="33"/>
  <c r="I17" i="33"/>
  <c r="K8" i="32"/>
  <c r="AG8" i="32" s="1"/>
  <c r="H23" i="32"/>
  <c r="AG9" i="32"/>
  <c r="AA8" i="32"/>
  <c r="AA23" i="32" s="1"/>
  <c r="W23" i="32"/>
  <c r="U23" i="32"/>
  <c r="AC11" i="32"/>
  <c r="AC13" i="32"/>
  <c r="AC15" i="32"/>
  <c r="AG18" i="32"/>
  <c r="AC19" i="32"/>
  <c r="AG11" i="32"/>
  <c r="AG13" i="32"/>
  <c r="AG15" i="32"/>
  <c r="AC17" i="32"/>
  <c r="AG19" i="32"/>
  <c r="AC9" i="32"/>
  <c r="AC10" i="32"/>
  <c r="AC12" i="32"/>
  <c r="AC14" i="32"/>
  <c r="I17" i="32"/>
  <c r="E23" i="32"/>
  <c r="Q23" i="32"/>
  <c r="I9" i="32"/>
  <c r="I10" i="32"/>
  <c r="I12" i="32"/>
  <c r="I14" i="32"/>
  <c r="AI21" i="56"/>
  <c r="AM9" i="56"/>
  <c r="AM10" i="56"/>
  <c r="AM11" i="56"/>
  <c r="AM12" i="56"/>
  <c r="AM13" i="56"/>
  <c r="AM14" i="56"/>
  <c r="AM15" i="56"/>
  <c r="AM16" i="56"/>
  <c r="AM17" i="56"/>
  <c r="AM18" i="56"/>
  <c r="AM19" i="56"/>
  <c r="AM20" i="56"/>
  <c r="AM21" i="56"/>
  <c r="AM22" i="56"/>
  <c r="AM8" i="56"/>
  <c r="AK9" i="56"/>
  <c r="AK10" i="56"/>
  <c r="AK11" i="56"/>
  <c r="AK12" i="56"/>
  <c r="AK13" i="56"/>
  <c r="AK14" i="56"/>
  <c r="AK15" i="56"/>
  <c r="AK16" i="56"/>
  <c r="AK17" i="56"/>
  <c r="AK18" i="56"/>
  <c r="AK19" i="56"/>
  <c r="AK20" i="56"/>
  <c r="AK21" i="56"/>
  <c r="AK22" i="56"/>
  <c r="AK8" i="56"/>
  <c r="AI9" i="56"/>
  <c r="AI10" i="56"/>
  <c r="AI11" i="56"/>
  <c r="AI13" i="56"/>
  <c r="AI14" i="56"/>
  <c r="AI15" i="56"/>
  <c r="AI16" i="56"/>
  <c r="AI17" i="56"/>
  <c r="AI18" i="56"/>
  <c r="AI19" i="56"/>
  <c r="AI20" i="56"/>
  <c r="AI22" i="56"/>
  <c r="AI8" i="56"/>
  <c r="AG16" i="56"/>
  <c r="AG20" i="56"/>
  <c r="AG21" i="56"/>
  <c r="AG22" i="56"/>
  <c r="AC16" i="56"/>
  <c r="AC20" i="56"/>
  <c r="AC21" i="56"/>
  <c r="AC22" i="56"/>
  <c r="O21" i="56"/>
  <c r="O37" i="56"/>
  <c r="L23" i="56"/>
  <c r="J23" i="56"/>
  <c r="O22" i="56"/>
  <c r="N22" i="56"/>
  <c r="N21" i="56"/>
  <c r="O20" i="56"/>
  <c r="N20" i="56"/>
  <c r="N19" i="56"/>
  <c r="N18" i="56"/>
  <c r="N17" i="56"/>
  <c r="O16" i="56"/>
  <c r="N16" i="56"/>
  <c r="N15" i="56"/>
  <c r="N14" i="56"/>
  <c r="N13" i="56"/>
  <c r="N12" i="56"/>
  <c r="N11" i="56"/>
  <c r="N10" i="56"/>
  <c r="N9" i="56"/>
  <c r="N8" i="56"/>
  <c r="D40" i="3" l="1"/>
  <c r="D37" i="3"/>
  <c r="D34" i="3"/>
  <c r="D36" i="3"/>
  <c r="D33" i="3"/>
  <c r="D39" i="3"/>
  <c r="D32" i="3"/>
  <c r="D28" i="3"/>
  <c r="D41" i="3"/>
  <c r="D38" i="3"/>
  <c r="D31" i="3"/>
  <c r="D35" i="3"/>
  <c r="D30" i="3"/>
  <c r="D29" i="3"/>
  <c r="I23" i="35"/>
  <c r="I23" i="36"/>
  <c r="AC24" i="36" s="1"/>
  <c r="AC38" i="36" s="1"/>
  <c r="AO23" i="40"/>
  <c r="I23" i="40"/>
  <c r="AC24" i="40" s="1"/>
  <c r="AC38" i="40" s="1"/>
  <c r="AO23" i="36"/>
  <c r="I23" i="34"/>
  <c r="AC24" i="34" s="1"/>
  <c r="AC38" i="34" s="1"/>
  <c r="AO23" i="33"/>
  <c r="I23" i="33"/>
  <c r="AC24" i="33" s="1"/>
  <c r="AC38" i="33" s="1"/>
  <c r="AO23" i="41"/>
  <c r="I23" i="41"/>
  <c r="AC24" i="41" s="1"/>
  <c r="AC38" i="41" s="1"/>
  <c r="AO23" i="35"/>
  <c r="AC23" i="36"/>
  <c r="AO23" i="34"/>
  <c r="AO23" i="32"/>
  <c r="I23" i="32"/>
  <c r="AC23" i="41"/>
  <c r="AC23" i="40"/>
  <c r="K23" i="35"/>
  <c r="AC8" i="35"/>
  <c r="AC23" i="35" s="1"/>
  <c r="O8" i="35"/>
  <c r="O23" i="35" s="1"/>
  <c r="AC23" i="34"/>
  <c r="AC23" i="33"/>
  <c r="K23" i="32"/>
  <c r="AC8" i="32"/>
  <c r="AC23" i="32" s="1"/>
  <c r="O8" i="32"/>
  <c r="O23" i="32" s="1"/>
  <c r="AI12" i="56"/>
  <c r="M23" i="56"/>
  <c r="N23" i="56"/>
  <c r="AC24" i="35" l="1"/>
  <c r="AC38" i="35" s="1"/>
  <c r="AC24" i="32"/>
  <c r="AC38" i="32" s="1"/>
  <c r="AC42" i="3" l="1"/>
  <c r="AC23" i="3"/>
  <c r="AA37" i="56" l="1"/>
  <c r="U37" i="56"/>
  <c r="I37" i="56"/>
  <c r="AC37" i="56" l="1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8" i="2"/>
  <c r="X23" i="56"/>
  <c r="V23" i="56"/>
  <c r="S23" i="56"/>
  <c r="R23" i="56"/>
  <c r="P23" i="56"/>
  <c r="F23" i="56"/>
  <c r="D23" i="56"/>
  <c r="D22" i="3"/>
  <c r="AA22" i="56"/>
  <c r="Z22" i="56"/>
  <c r="U22" i="56"/>
  <c r="T22" i="56"/>
  <c r="H22" i="56"/>
  <c r="I22" i="56"/>
  <c r="D21" i="3"/>
  <c r="AA21" i="56"/>
  <c r="Z21" i="56"/>
  <c r="U21" i="56"/>
  <c r="T21" i="56"/>
  <c r="I21" i="56"/>
  <c r="H21" i="56"/>
  <c r="D20" i="3"/>
  <c r="AA20" i="56"/>
  <c r="Z20" i="56"/>
  <c r="U20" i="56"/>
  <c r="T20" i="56"/>
  <c r="I20" i="56"/>
  <c r="H20" i="56"/>
  <c r="D19" i="3"/>
  <c r="Z19" i="56"/>
  <c r="W19" i="56"/>
  <c r="AA19" i="56" s="1"/>
  <c r="T19" i="56"/>
  <c r="H19" i="56"/>
  <c r="K19" i="56" s="1"/>
  <c r="O19" i="56" s="1"/>
  <c r="E19" i="56"/>
  <c r="I19" i="56" s="1"/>
  <c r="D18" i="3"/>
  <c r="Z18" i="56"/>
  <c r="W18" i="56"/>
  <c r="AA18" i="56" s="1"/>
  <c r="T18" i="56"/>
  <c r="U18" i="56"/>
  <c r="H18" i="56"/>
  <c r="K18" i="56" s="1"/>
  <c r="E18" i="56"/>
  <c r="D17" i="3"/>
  <c r="Z17" i="56"/>
  <c r="W17" i="56"/>
  <c r="AA17" i="56" s="1"/>
  <c r="T17" i="56"/>
  <c r="H17" i="56"/>
  <c r="K17" i="56" s="1"/>
  <c r="E17" i="56"/>
  <c r="D16" i="3"/>
  <c r="AA16" i="56"/>
  <c r="Z16" i="56"/>
  <c r="T16" i="56"/>
  <c r="I16" i="56"/>
  <c r="H16" i="56"/>
  <c r="D15" i="3"/>
  <c r="Z15" i="56"/>
  <c r="AA15" i="56"/>
  <c r="T15" i="56"/>
  <c r="U15" i="56"/>
  <c r="H15" i="56"/>
  <c r="K15" i="56" s="1"/>
  <c r="E15" i="56"/>
  <c r="D14" i="3"/>
  <c r="Z14" i="56"/>
  <c r="AA14" i="56"/>
  <c r="T14" i="56"/>
  <c r="U14" i="56"/>
  <c r="H14" i="56"/>
  <c r="K14" i="56" s="1"/>
  <c r="E14" i="56"/>
  <c r="D13" i="3"/>
  <c r="Z13" i="56"/>
  <c r="AA13" i="56"/>
  <c r="T13" i="56"/>
  <c r="H13" i="56"/>
  <c r="K13" i="56" s="1"/>
  <c r="E13" i="56"/>
  <c r="D12" i="3"/>
  <c r="Z12" i="56"/>
  <c r="T12" i="56"/>
  <c r="H12" i="56"/>
  <c r="K12" i="56" s="1"/>
  <c r="E12" i="56"/>
  <c r="I12" i="56" s="1"/>
  <c r="D11" i="3"/>
  <c r="Z11" i="56"/>
  <c r="T11" i="56"/>
  <c r="U11" i="56"/>
  <c r="H11" i="56"/>
  <c r="K11" i="56" s="1"/>
  <c r="E11" i="56"/>
  <c r="D10" i="3"/>
  <c r="T10" i="56"/>
  <c r="H10" i="56"/>
  <c r="K10" i="56" s="1"/>
  <c r="E10" i="56"/>
  <c r="D9" i="3"/>
  <c r="Z9" i="56"/>
  <c r="AA9" i="56"/>
  <c r="T9" i="56"/>
  <c r="H9" i="56"/>
  <c r="K9" i="56" s="1"/>
  <c r="E9" i="56"/>
  <c r="I9" i="56" s="1"/>
  <c r="D27" i="3"/>
  <c r="D8" i="3"/>
  <c r="AE23" i="56"/>
  <c r="Z8" i="56"/>
  <c r="W8" i="56"/>
  <c r="AA8" i="56" s="1"/>
  <c r="T8" i="56"/>
  <c r="U8" i="56"/>
  <c r="H8" i="56"/>
  <c r="K8" i="56" s="1"/>
  <c r="G23" i="56"/>
  <c r="E8" i="56"/>
  <c r="AC18" i="56" l="1"/>
  <c r="R24" i="56"/>
  <c r="AA11" i="56"/>
  <c r="AC11" i="56"/>
  <c r="O11" i="56"/>
  <c r="AG11" i="56"/>
  <c r="O12" i="56"/>
  <c r="AG12" i="56"/>
  <c r="AC12" i="56"/>
  <c r="O14" i="56"/>
  <c r="AC14" i="56"/>
  <c r="AG14" i="56"/>
  <c r="AG15" i="56"/>
  <c r="AC15" i="56"/>
  <c r="O15" i="56"/>
  <c r="O17" i="56"/>
  <c r="AC17" i="56"/>
  <c r="AG17" i="56"/>
  <c r="AC8" i="56"/>
  <c r="AG8" i="56"/>
  <c r="AG9" i="56"/>
  <c r="AC9" i="56"/>
  <c r="O9" i="56"/>
  <c r="AG10" i="56"/>
  <c r="O10" i="56"/>
  <c r="AG13" i="56"/>
  <c r="O13" i="56"/>
  <c r="O18" i="56"/>
  <c r="AG18" i="56"/>
  <c r="U19" i="56"/>
  <c r="AC19" i="56"/>
  <c r="AG19" i="56"/>
  <c r="K23" i="56"/>
  <c r="O8" i="56"/>
  <c r="W23" i="56"/>
  <c r="U9" i="56"/>
  <c r="I14" i="56"/>
  <c r="I11" i="56"/>
  <c r="T23" i="56"/>
  <c r="Z23" i="56"/>
  <c r="AK23" i="56"/>
  <c r="E23" i="56"/>
  <c r="H23" i="56"/>
  <c r="AM23" i="56"/>
  <c r="I8" i="56"/>
  <c r="U10" i="56"/>
  <c r="U12" i="56"/>
  <c r="AA12" i="56"/>
  <c r="U13" i="56"/>
  <c r="I15" i="56"/>
  <c r="U17" i="56"/>
  <c r="I18" i="56"/>
  <c r="Q23" i="56"/>
  <c r="Y23" i="56"/>
  <c r="S24" i="56" s="1"/>
  <c r="I10" i="56"/>
  <c r="I13" i="56"/>
  <c r="I17" i="56"/>
  <c r="AA23" i="56" l="1"/>
  <c r="O23" i="56"/>
  <c r="U23" i="56"/>
  <c r="AO23" i="56"/>
  <c r="I23" i="56"/>
  <c r="AC23" i="56"/>
  <c r="AC24" i="56" l="1"/>
  <c r="AC38" i="56" s="1"/>
  <c r="AB42" i="3" l="1"/>
  <c r="AB23" i="3"/>
  <c r="AA42" i="3"/>
  <c r="AA23" i="3"/>
  <c r="U42" i="3"/>
  <c r="I42" i="3"/>
  <c r="X42" i="3"/>
  <c r="J42" i="3"/>
  <c r="Q42" i="3"/>
  <c r="T42" i="3"/>
  <c r="V42" i="3"/>
  <c r="R42" i="3"/>
  <c r="O42" i="3"/>
  <c r="N42" i="3"/>
  <c r="M42" i="3"/>
  <c r="L42" i="3"/>
  <c r="K42" i="3"/>
  <c r="S42" i="3"/>
  <c r="AE40" i="3"/>
  <c r="AE37" i="3"/>
  <c r="AE34" i="3"/>
  <c r="AE30" i="3"/>
  <c r="AE41" i="3"/>
  <c r="AE36" i="3"/>
  <c r="AE33" i="3"/>
  <c r="AE29" i="3"/>
  <c r="AE35" i="3"/>
  <c r="AE32" i="3"/>
  <c r="AE38" i="3"/>
  <c r="AE39" i="3"/>
  <c r="AE31" i="3"/>
  <c r="AE28" i="3"/>
  <c r="G42" i="3"/>
  <c r="H42" i="3"/>
  <c r="Z42" i="3"/>
  <c r="P42" i="3"/>
  <c r="F42" i="3"/>
  <c r="W42" i="3"/>
  <c r="Y42" i="3"/>
  <c r="E42" i="3"/>
  <c r="D42" i="3"/>
  <c r="AE27" i="3" l="1"/>
  <c r="AE42" i="3" s="1"/>
  <c r="E23" i="2" l="1"/>
  <c r="AE16" i="3" l="1"/>
  <c r="I23" i="2"/>
  <c r="AA23" i="2" l="1"/>
  <c r="AC23" i="2"/>
  <c r="AB23" i="2"/>
  <c r="P23" i="3"/>
  <c r="Y23" i="3" l="1"/>
  <c r="X23" i="3" l="1"/>
  <c r="W23" i="3"/>
  <c r="Z23" i="3"/>
  <c r="V23" i="3" l="1"/>
  <c r="U23" i="3"/>
  <c r="S23" i="3" l="1"/>
  <c r="R23" i="3"/>
  <c r="T23" i="3"/>
  <c r="Q23" i="3"/>
  <c r="R23" i="2"/>
  <c r="T23" i="2"/>
  <c r="S23" i="2"/>
  <c r="Q23" i="2" l="1"/>
  <c r="O23" i="2" l="1"/>
  <c r="M23" i="2"/>
  <c r="N23" i="2"/>
  <c r="E23" i="3" l="1"/>
  <c r="N23" i="3"/>
  <c r="O23" i="3"/>
  <c r="M23" i="3"/>
  <c r="L23" i="3"/>
  <c r="K23" i="3"/>
  <c r="J23" i="3"/>
  <c r="I23" i="3"/>
  <c r="P23" i="2"/>
  <c r="G23" i="2"/>
  <c r="J23" i="2"/>
  <c r="U23" i="2"/>
  <c r="V23" i="2"/>
  <c r="W23" i="2"/>
  <c r="X23" i="2"/>
  <c r="Y23" i="2"/>
  <c r="Z23" i="2"/>
  <c r="H23" i="2"/>
  <c r="L23" i="2" l="1"/>
  <c r="K23" i="2"/>
  <c r="F23" i="2"/>
  <c r="AE22" i="3" l="1"/>
  <c r="AE21" i="3"/>
  <c r="AE20" i="3"/>
  <c r="AE19" i="3"/>
  <c r="AE18" i="3"/>
  <c r="AE17" i="3"/>
  <c r="AE15" i="3"/>
  <c r="AE14" i="3"/>
  <c r="AE13" i="3"/>
  <c r="AE12" i="3"/>
  <c r="AE11" i="3"/>
  <c r="AE10" i="3"/>
  <c r="G23" i="3"/>
  <c r="D23" i="3"/>
  <c r="H23" i="3"/>
  <c r="F23" i="3"/>
  <c r="AE8" i="3"/>
  <c r="AE21" i="2"/>
  <c r="AE20" i="2"/>
  <c r="AE19" i="2"/>
  <c r="AE18" i="2"/>
  <c r="AE17" i="2"/>
  <c r="AE15" i="2"/>
  <c r="AE14" i="2"/>
  <c r="AE13" i="2"/>
  <c r="AE12" i="2"/>
  <c r="AE11" i="2"/>
  <c r="AE10" i="2"/>
  <c r="AE22" i="2"/>
  <c r="AE9" i="2"/>
  <c r="D23" i="2"/>
  <c r="AE9" i="3" l="1"/>
  <c r="AE23" i="3" s="1"/>
  <c r="AE8" i="2"/>
</calcChain>
</file>

<file path=xl/comments1.xml><?xml version="1.0" encoding="utf-8"?>
<comments xmlns="http://schemas.openxmlformats.org/spreadsheetml/2006/main">
  <authors>
    <author>INSI8</author>
  </authors>
  <commentList>
    <comment ref="I36" authorId="0">
      <text>
        <r>
          <rPr>
            <b/>
            <sz val="9"/>
            <color indexed="81"/>
            <rFont val="Tahoma"/>
            <charset val="1"/>
          </rPr>
          <t>INSI8:</t>
        </r>
        <r>
          <rPr>
            <sz val="9"/>
            <color indexed="81"/>
            <rFont val="Tahoma"/>
            <charset val="1"/>
          </rPr>
          <t xml:space="preserve">
dr. Castillo $56880
dr. Serantes $145360</t>
        </r>
      </text>
    </comment>
  </commentList>
</comments>
</file>

<file path=xl/comments2.xml><?xml version="1.0" encoding="utf-8"?>
<comments xmlns="http://schemas.openxmlformats.org/spreadsheetml/2006/main">
  <authors>
    <author>INSI8</author>
  </authors>
  <commentList>
    <comment ref="U38" authorId="0">
      <text>
        <r>
          <rPr>
            <b/>
            <sz val="9"/>
            <color indexed="81"/>
            <rFont val="Tahoma"/>
            <charset val="1"/>
          </rPr>
          <t>INSI8:</t>
        </r>
        <r>
          <rPr>
            <sz val="9"/>
            <color indexed="81"/>
            <rFont val="Tahoma"/>
            <charset val="1"/>
          </rPr>
          <t xml:space="preserve">
BONO MAL RENDIDO</t>
        </r>
      </text>
    </comment>
    <comment ref="AA38" authorId="0">
      <text>
        <r>
          <rPr>
            <b/>
            <sz val="9"/>
            <color indexed="81"/>
            <rFont val="Tahoma"/>
            <charset val="1"/>
          </rPr>
          <t>INSI8:</t>
        </r>
        <r>
          <rPr>
            <sz val="9"/>
            <color indexed="81"/>
            <rFont val="Tahoma"/>
            <charset val="1"/>
          </rPr>
          <t xml:space="preserve">
SOBRANTE DE CAJA MAL CUADRADA</t>
        </r>
      </text>
    </comment>
  </commentList>
</comments>
</file>

<file path=xl/comments3.xml><?xml version="1.0" encoding="utf-8"?>
<comments xmlns="http://schemas.openxmlformats.org/spreadsheetml/2006/main">
  <authors>
    <author>INSI8</author>
  </authors>
  <commentList>
    <comment ref="O36" authorId="0">
      <text>
        <r>
          <rPr>
            <b/>
            <sz val="9"/>
            <color indexed="81"/>
            <rFont val="Tahoma"/>
            <charset val="1"/>
          </rPr>
          <t>INSI8:</t>
        </r>
        <r>
          <rPr>
            <sz val="9"/>
            <color indexed="81"/>
            <rFont val="Tahoma"/>
            <charset val="1"/>
          </rPr>
          <t xml:space="preserve">
DR. CASTILLO</t>
        </r>
      </text>
    </comment>
    <comment ref="U36" authorId="0">
      <text>
        <r>
          <rPr>
            <b/>
            <sz val="9"/>
            <color indexed="81"/>
            <rFont val="Tahoma"/>
            <charset val="1"/>
          </rPr>
          <t>INSI8:</t>
        </r>
        <r>
          <rPr>
            <sz val="9"/>
            <color indexed="81"/>
            <rFont val="Tahoma"/>
            <charset val="1"/>
          </rPr>
          <t xml:space="preserve">
DR. SERANTES</t>
        </r>
      </text>
    </comment>
  </commentList>
</comments>
</file>

<file path=xl/comments4.xml><?xml version="1.0" encoding="utf-8"?>
<comments xmlns="http://schemas.openxmlformats.org/spreadsheetml/2006/main">
  <authors>
    <author>INSI8</author>
  </authors>
  <commentList>
    <comment ref="O36" authorId="0">
      <text>
        <r>
          <rPr>
            <b/>
            <sz val="9"/>
            <color indexed="81"/>
            <rFont val="Tahoma"/>
            <charset val="1"/>
          </rPr>
          <t>INSI8:</t>
        </r>
        <r>
          <rPr>
            <sz val="9"/>
            <color indexed="81"/>
            <rFont val="Tahoma"/>
            <charset val="1"/>
          </rPr>
          <t xml:space="preserve">
DR. SERANTES $146624</t>
        </r>
      </text>
    </comment>
    <comment ref="AA36" authorId="0">
      <text>
        <r>
          <rPr>
            <b/>
            <sz val="9"/>
            <color indexed="81"/>
            <rFont val="Tahoma"/>
            <charset val="1"/>
          </rPr>
          <t>INSI8:</t>
        </r>
        <r>
          <rPr>
            <sz val="9"/>
            <color indexed="81"/>
            <rFont val="Tahoma"/>
            <charset val="1"/>
          </rPr>
          <t xml:space="preserve">
DR. CASTILLO $65728</t>
        </r>
      </text>
    </comment>
  </commentList>
</comments>
</file>

<file path=xl/comments5.xml><?xml version="1.0" encoding="utf-8"?>
<comments xmlns="http://schemas.openxmlformats.org/spreadsheetml/2006/main">
  <authors>
    <author>INSI8</author>
  </authors>
  <commentList>
    <comment ref="U36" authorId="0">
      <text>
        <r>
          <rPr>
            <b/>
            <sz val="9"/>
            <color indexed="81"/>
            <rFont val="Tahoma"/>
            <charset val="1"/>
          </rPr>
          <t>INSI8:</t>
        </r>
        <r>
          <rPr>
            <sz val="9"/>
            <color indexed="81"/>
            <rFont val="Tahoma"/>
            <charset val="1"/>
          </rPr>
          <t xml:space="preserve">
RX $38120</t>
        </r>
      </text>
    </comment>
    <comment ref="AA36" authorId="0">
      <text>
        <r>
          <rPr>
            <b/>
            <sz val="9"/>
            <color indexed="81"/>
            <rFont val="Tahoma"/>
            <charset val="1"/>
          </rPr>
          <t>INSI8:</t>
        </r>
        <r>
          <rPr>
            <sz val="9"/>
            <color indexed="81"/>
            <rFont val="Tahoma"/>
            <charset val="1"/>
          </rPr>
          <t xml:space="preserve">
DR. CASTILLO $89428
RX $40000
</t>
        </r>
      </text>
    </comment>
  </commentList>
</comments>
</file>

<file path=xl/comments6.xml><?xml version="1.0" encoding="utf-8"?>
<comments xmlns="http://schemas.openxmlformats.org/spreadsheetml/2006/main">
  <authors>
    <author>INSI8</author>
  </authors>
  <commentList>
    <comment ref="U36" authorId="0">
      <text>
        <r>
          <rPr>
            <b/>
            <sz val="9"/>
            <color indexed="81"/>
            <rFont val="Tahoma"/>
            <charset val="1"/>
          </rPr>
          <t>INSI8:</t>
        </r>
        <r>
          <rPr>
            <sz val="9"/>
            <color indexed="81"/>
            <rFont val="Tahoma"/>
            <charset val="1"/>
          </rPr>
          <t xml:space="preserve">
DR. SERANTES $164320
RX $12800</t>
        </r>
      </text>
    </comment>
  </commentList>
</comments>
</file>

<file path=xl/comments7.xml><?xml version="1.0" encoding="utf-8"?>
<comments xmlns="http://schemas.openxmlformats.org/spreadsheetml/2006/main">
  <authors>
    <author>INSI8</author>
  </authors>
  <commentList>
    <comment ref="U36" authorId="0">
      <text>
        <r>
          <rPr>
            <b/>
            <sz val="9"/>
            <color indexed="81"/>
            <rFont val="Tahoma"/>
            <charset val="1"/>
          </rPr>
          <t>INSI8:</t>
        </r>
        <r>
          <rPr>
            <sz val="9"/>
            <color indexed="81"/>
            <rFont val="Tahoma"/>
            <charset val="1"/>
          </rPr>
          <t xml:space="preserve">
DR. SERANTES</t>
        </r>
      </text>
    </comment>
    <comment ref="AA36" authorId="0">
      <text>
        <r>
          <rPr>
            <b/>
            <sz val="9"/>
            <color indexed="81"/>
            <rFont val="Tahoma"/>
            <charset val="1"/>
          </rPr>
          <t>INSI8:</t>
        </r>
        <r>
          <rPr>
            <sz val="9"/>
            <color indexed="81"/>
            <rFont val="Tahoma"/>
            <charset val="1"/>
          </rPr>
          <t xml:space="preserve">
DR. SERANTES</t>
        </r>
      </text>
    </comment>
  </commentList>
</comments>
</file>

<file path=xl/comments8.xml><?xml version="1.0" encoding="utf-8"?>
<comments xmlns="http://schemas.openxmlformats.org/spreadsheetml/2006/main">
  <authors>
    <author>INSI8</author>
  </authors>
  <commentList>
    <comment ref="AA36" authorId="0">
      <text>
        <r>
          <rPr>
            <b/>
            <sz val="9"/>
            <color indexed="81"/>
            <rFont val="Tahoma"/>
            <charset val="1"/>
          </rPr>
          <t>INSI8:</t>
        </r>
        <r>
          <rPr>
            <sz val="9"/>
            <color indexed="81"/>
            <rFont val="Tahoma"/>
            <charset val="1"/>
          </rPr>
          <t xml:space="preserve">
DR. SERANTES</t>
        </r>
      </text>
    </comment>
  </commentList>
</comments>
</file>

<file path=xl/comments9.xml><?xml version="1.0" encoding="utf-8"?>
<comments xmlns="http://schemas.openxmlformats.org/spreadsheetml/2006/main">
  <authors>
    <author>INSI8</author>
  </authors>
  <commentList>
    <comment ref="AA36" authorId="0">
      <text>
        <r>
          <rPr>
            <b/>
            <sz val="9"/>
            <color indexed="81"/>
            <rFont val="Tahoma"/>
            <charset val="1"/>
          </rPr>
          <t>INSI8:</t>
        </r>
        <r>
          <rPr>
            <sz val="9"/>
            <color indexed="81"/>
            <rFont val="Tahoma"/>
            <charset val="1"/>
          </rPr>
          <t xml:space="preserve">
DR. SERANTES $127664</t>
        </r>
      </text>
    </comment>
  </commentList>
</comments>
</file>

<file path=xl/comments10.xml><?xml version="1.0" encoding="utf-8"?>
<comments xmlns="http://schemas.openxmlformats.org/spreadsheetml/2006/main">
  <authors>
    <author>INSI8</author>
  </authors>
  <commentList>
    <comment ref="U36" authorId="0">
      <text>
        <r>
          <rPr>
            <b/>
            <sz val="9"/>
            <color indexed="81"/>
            <rFont val="Tahoma"/>
            <charset val="1"/>
          </rPr>
          <t>INSI8:</t>
        </r>
        <r>
          <rPr>
            <sz val="9"/>
            <color indexed="81"/>
            <rFont val="Tahoma"/>
            <charset val="1"/>
          </rPr>
          <t xml:space="preserve">
RX $55910
</t>
        </r>
      </text>
    </comment>
    <comment ref="AA36" authorId="0">
      <text>
        <r>
          <rPr>
            <b/>
            <sz val="9"/>
            <color indexed="81"/>
            <rFont val="Tahoma"/>
            <charset val="1"/>
          </rPr>
          <t>INSI8:</t>
        </r>
        <r>
          <rPr>
            <sz val="9"/>
            <color indexed="81"/>
            <rFont val="Tahoma"/>
            <charset val="1"/>
          </rPr>
          <t xml:space="preserve">
DR. SERANTES $171385
RX $6430
</t>
        </r>
      </text>
    </comment>
    <comment ref="U38" authorId="0">
      <text>
        <r>
          <rPr>
            <b/>
            <sz val="9"/>
            <color indexed="81"/>
            <rFont val="Tahoma"/>
            <charset val="1"/>
          </rPr>
          <t>INSI8:</t>
        </r>
        <r>
          <rPr>
            <sz val="9"/>
            <color indexed="81"/>
            <rFont val="Tahoma"/>
            <charset val="1"/>
          </rPr>
          <t xml:space="preserve">
BONO TRANS</t>
        </r>
      </text>
    </comment>
  </commentList>
</comments>
</file>

<file path=xl/comments11.xml><?xml version="1.0" encoding="utf-8"?>
<comments xmlns="http://schemas.openxmlformats.org/spreadsheetml/2006/main">
  <authors>
    <author>INSI8</author>
  </authors>
  <commentList>
    <comment ref="U36" authorId="0">
      <text>
        <r>
          <rPr>
            <b/>
            <sz val="9"/>
            <color indexed="81"/>
            <rFont val="Tahoma"/>
            <charset val="1"/>
          </rPr>
          <t>INSI8:</t>
        </r>
        <r>
          <rPr>
            <sz val="9"/>
            <color indexed="81"/>
            <rFont val="Tahoma"/>
            <charset val="1"/>
          </rPr>
          <t xml:space="preserve">
DR. CASTILLO $6320
</t>
        </r>
      </text>
    </comment>
  </commentList>
</comments>
</file>

<file path=xl/comments12.xml><?xml version="1.0" encoding="utf-8"?>
<comments xmlns="http://schemas.openxmlformats.org/spreadsheetml/2006/main">
  <authors>
    <author>INSI8</author>
  </authors>
  <commentList>
    <comment ref="AA36" authorId="0">
      <text>
        <r>
          <rPr>
            <b/>
            <sz val="9"/>
            <color indexed="81"/>
            <rFont val="Tahoma"/>
            <charset val="1"/>
          </rPr>
          <t>INSI8:</t>
        </r>
        <r>
          <rPr>
            <sz val="9"/>
            <color indexed="81"/>
            <rFont val="Tahoma"/>
            <charset val="1"/>
          </rPr>
          <t xml:space="preserve">
dr. Serantes $158000
dr. Castillo $94800
rx $12419</t>
        </r>
      </text>
    </comment>
  </commentList>
</comments>
</file>

<file path=xl/comments13.xml><?xml version="1.0" encoding="utf-8"?>
<comments xmlns="http://schemas.openxmlformats.org/spreadsheetml/2006/main">
  <authors>
    <author>INSI8</author>
  </authors>
  <commentList>
    <comment ref="AA36" authorId="0">
      <text>
        <r>
          <rPr>
            <b/>
            <sz val="9"/>
            <color indexed="81"/>
            <rFont val="Tahoma"/>
            <charset val="1"/>
          </rPr>
          <t>INSI8:</t>
        </r>
        <r>
          <rPr>
            <sz val="9"/>
            <color indexed="81"/>
            <rFont val="Tahoma"/>
            <charset val="1"/>
          </rPr>
          <t xml:space="preserve">
DR. CASTILLO $48032
DR. SERANTES $94800
RX $18410</t>
        </r>
      </text>
    </comment>
  </commentList>
</comments>
</file>

<file path=xl/comments14.xml><?xml version="1.0" encoding="utf-8"?>
<comments xmlns="http://schemas.openxmlformats.org/spreadsheetml/2006/main">
  <authors>
    <author>INSI8</author>
  </authors>
  <commentList>
    <comment ref="U36" authorId="0">
      <text>
        <r>
          <rPr>
            <b/>
            <sz val="9"/>
            <color indexed="81"/>
            <rFont val="Tahoma"/>
            <charset val="1"/>
          </rPr>
          <t>INSI8:</t>
        </r>
        <r>
          <rPr>
            <sz val="9"/>
            <color indexed="81"/>
            <rFont val="Tahoma"/>
            <charset val="1"/>
          </rPr>
          <t xml:space="preserve">
DR. SERANTES $101120
DR. CASTILLO $50560</t>
        </r>
      </text>
    </comment>
  </commentList>
</comments>
</file>

<file path=xl/comments15.xml><?xml version="1.0" encoding="utf-8"?>
<comments xmlns="http://schemas.openxmlformats.org/spreadsheetml/2006/main">
  <authors>
    <author>INSI8</author>
  </authors>
  <commentList>
    <comment ref="AA36" authorId="0">
      <text>
        <r>
          <rPr>
            <b/>
            <sz val="9"/>
            <color indexed="81"/>
            <rFont val="Tahoma"/>
            <charset val="1"/>
          </rPr>
          <t>INSI8:</t>
        </r>
        <r>
          <rPr>
            <sz val="9"/>
            <color indexed="81"/>
            <rFont val="Tahoma"/>
            <charset val="1"/>
          </rPr>
          <t xml:space="preserve">
DR. CASTILLO $56880
DR. SERANTES $113760</t>
        </r>
      </text>
    </comment>
  </commentList>
</comments>
</file>

<file path=xl/comments16.xml><?xml version="1.0" encoding="utf-8"?>
<comments xmlns="http://schemas.openxmlformats.org/spreadsheetml/2006/main">
  <authors>
    <author>INSI8</author>
  </authors>
  <commentList>
    <comment ref="O36" authorId="0">
      <text>
        <r>
          <rPr>
            <b/>
            <sz val="9"/>
            <color indexed="81"/>
            <rFont val="Tahoma"/>
            <charset val="1"/>
          </rPr>
          <t>INSI8:</t>
        </r>
        <r>
          <rPr>
            <sz val="9"/>
            <color indexed="81"/>
            <rFont val="Tahoma"/>
            <charset val="1"/>
          </rPr>
          <t xml:space="preserve">
rx</t>
        </r>
      </text>
    </comment>
    <comment ref="U36" authorId="0">
      <text>
        <r>
          <rPr>
            <b/>
            <sz val="9"/>
            <color indexed="81"/>
            <rFont val="Tahoma"/>
            <charset val="1"/>
          </rPr>
          <t>INSI8:</t>
        </r>
        <r>
          <rPr>
            <sz val="9"/>
            <color indexed="81"/>
            <rFont val="Tahoma"/>
            <charset val="1"/>
          </rPr>
          <t xml:space="preserve">
DR. SERANTES $159896
DR. CASTILLO $56880</t>
        </r>
      </text>
    </comment>
  </commentList>
</comments>
</file>

<file path=xl/comments17.xml><?xml version="1.0" encoding="utf-8"?>
<comments xmlns="http://schemas.openxmlformats.org/spreadsheetml/2006/main">
  <authors>
    <author>INSI8</author>
  </authors>
  <commentList>
    <comment ref="AA36" authorId="0">
      <text>
        <r>
          <rPr>
            <b/>
            <sz val="9"/>
            <color indexed="81"/>
            <rFont val="Tahoma"/>
            <charset val="1"/>
          </rPr>
          <t>INSI8:</t>
        </r>
        <r>
          <rPr>
            <sz val="9"/>
            <color indexed="81"/>
            <rFont val="Tahoma"/>
            <charset val="1"/>
          </rPr>
          <t xml:space="preserve">
rx $9324
dr. Serantes $139040
dr. Castillo $72050</t>
        </r>
      </text>
    </comment>
  </commentList>
</comments>
</file>

<file path=xl/comments18.xml><?xml version="1.0" encoding="utf-8"?>
<comments xmlns="http://schemas.openxmlformats.org/spreadsheetml/2006/main">
  <authors>
    <author>INSI8</author>
  </authors>
  <commentList>
    <comment ref="AA36" authorId="0">
      <text>
        <r>
          <rPr>
            <b/>
            <sz val="9"/>
            <color indexed="81"/>
            <rFont val="Tahoma"/>
            <charset val="1"/>
          </rPr>
          <t>INSI8:</t>
        </r>
        <r>
          <rPr>
            <sz val="9"/>
            <color indexed="81"/>
            <rFont val="Tahoma"/>
            <charset val="1"/>
          </rPr>
          <t xml:space="preserve">
dr. Serantes $86584
dr. Castillo $70784</t>
        </r>
      </text>
    </comment>
  </commentList>
</comments>
</file>

<file path=xl/comments19.xml><?xml version="1.0" encoding="utf-8"?>
<comments xmlns="http://schemas.openxmlformats.org/spreadsheetml/2006/main">
  <authors>
    <author>INSI8</author>
  </authors>
  <commentList>
    <comment ref="AA36" authorId="0">
      <text>
        <r>
          <rPr>
            <b/>
            <sz val="9"/>
            <color indexed="81"/>
            <rFont val="Tahoma"/>
            <charset val="1"/>
          </rPr>
          <t>INSI8:</t>
        </r>
        <r>
          <rPr>
            <sz val="9"/>
            <color indexed="81"/>
            <rFont val="Tahoma"/>
            <charset val="1"/>
          </rPr>
          <t xml:space="preserve">
dr. castillo</t>
        </r>
      </text>
    </comment>
  </commentList>
</comments>
</file>

<file path=xl/comments20.xml><?xml version="1.0" encoding="utf-8"?>
<comments xmlns="http://schemas.openxmlformats.org/spreadsheetml/2006/main">
  <authors>
    <author>INSI8</author>
  </authors>
  <commentList>
    <comment ref="U36" authorId="0">
      <text>
        <r>
          <rPr>
            <b/>
            <sz val="9"/>
            <color indexed="81"/>
            <rFont val="Tahoma"/>
            <charset val="1"/>
          </rPr>
          <t>INSI8:</t>
        </r>
        <r>
          <rPr>
            <sz val="9"/>
            <color indexed="81"/>
            <rFont val="Tahoma"/>
            <charset val="1"/>
          </rPr>
          <t xml:space="preserve">
dr. castillo</t>
        </r>
      </text>
    </comment>
  </commentList>
</comments>
</file>

<file path=xl/sharedStrings.xml><?xml version="1.0" encoding="utf-8"?>
<sst xmlns="http://schemas.openxmlformats.org/spreadsheetml/2006/main" count="1745" uniqueCount="75">
  <si>
    <t>INSI S.A.</t>
  </si>
  <si>
    <t>RECEPCIÓN COPAGOS POR PRESTADOR</t>
  </si>
  <si>
    <t xml:space="preserve">FECHA:  </t>
  </si>
  <si>
    <t>VALOR BONO</t>
  </si>
  <si>
    <t>PRESTADOR</t>
  </si>
  <si>
    <t>TOTAL BONOS</t>
  </si>
  <si>
    <t>VALOR TOTAL</t>
  </si>
  <si>
    <t>SEGURO COMPLEMENTARIO</t>
  </si>
  <si>
    <t>CANT. BONOS</t>
  </si>
  <si>
    <t>TOTAL</t>
  </si>
  <si>
    <t xml:space="preserve">TOTAL </t>
  </si>
  <si>
    <t>PORTAL</t>
  </si>
  <si>
    <t>I-MED</t>
  </si>
  <si>
    <t>SERV. MÉDICOS ESCULAPIO</t>
  </si>
  <si>
    <t>DR. JOSÉ LUIS CASTILLO</t>
  </si>
  <si>
    <t>DR. JULIO MÉNDEZ</t>
  </si>
  <si>
    <t>SOC. MÉDICA DE CIRUGÍA</t>
  </si>
  <si>
    <t>DR. CLAUDIO TRUJILLO</t>
  </si>
  <si>
    <t>DR. RICARDO  PÉREZ</t>
  </si>
  <si>
    <t>DR. LUIS TEICHELMANN</t>
  </si>
  <si>
    <t>DR. VALDERRAMA</t>
  </si>
  <si>
    <t>DR. GORKI OSORIO</t>
  </si>
  <si>
    <t>DR. LUIGI DE GREGORI</t>
  </si>
  <si>
    <t>DR. ANDRÉS GIACAMAN</t>
  </si>
  <si>
    <t>UROFLUJOMETRIA</t>
  </si>
  <si>
    <t xml:space="preserve"> </t>
  </si>
  <si>
    <t>N/A</t>
  </si>
  <si>
    <t>KARLA BETANCOURT</t>
  </si>
  <si>
    <t>SMAT LTDA.</t>
  </si>
  <si>
    <t>PRESTACIONES RXS.LTDA.</t>
  </si>
  <si>
    <t>DETALLE EFECTIVO:</t>
  </si>
  <si>
    <t>FRANCISCA NORAMBUENA</t>
  </si>
  <si>
    <t>RETIRO</t>
  </si>
  <si>
    <t xml:space="preserve">SR. JAVIER CUELLO </t>
  </si>
  <si>
    <t xml:space="preserve">BONO PORTAL </t>
  </si>
  <si>
    <t>BONO I-MED</t>
  </si>
  <si>
    <t xml:space="preserve">MARIA JOSE CUADROS </t>
  </si>
  <si>
    <t>YENY LOPEZ</t>
  </si>
  <si>
    <t xml:space="preserve">  </t>
  </si>
  <si>
    <t>ALEJANDRA NOVA</t>
  </si>
  <si>
    <t>MARTES 31-08-2021</t>
  </si>
  <si>
    <t>DANAES CARRASCO</t>
  </si>
  <si>
    <t>MARJORIE JELVES</t>
  </si>
  <si>
    <t>MARIA JOSE CUADROS</t>
  </si>
  <si>
    <t>DANAE CARRASCO</t>
  </si>
  <si>
    <t xml:space="preserve">MARYORIE JELVES </t>
  </si>
  <si>
    <t>MARJORIE JELDES</t>
  </si>
  <si>
    <t>NICOLE NOVA</t>
  </si>
  <si>
    <t>LUNES 03-01-2022</t>
  </si>
  <si>
    <t>MARTES 04-01-2022</t>
  </si>
  <si>
    <t>MIERCOLES 05-01-2022</t>
  </si>
  <si>
    <t>JUEVES 06-01-2022</t>
  </si>
  <si>
    <t>VIERNES 07-01-2022</t>
  </si>
  <si>
    <t>SABADO 08-01-2022</t>
  </si>
  <si>
    <t>NORMA ALMONACID</t>
  </si>
  <si>
    <t>NORMA NORAMBUENA</t>
  </si>
  <si>
    <t>LUNES 10-01-2022</t>
  </si>
  <si>
    <t>MARTES 11-01-2022</t>
  </si>
  <si>
    <t>MIERCOLES 12-01-2022</t>
  </si>
  <si>
    <t>JUEVES 13-01-2022</t>
  </si>
  <si>
    <t>VIERNES 14-01-2022</t>
  </si>
  <si>
    <t>SABADO 15-01-2022</t>
  </si>
  <si>
    <t>LUNES 17-01-2022</t>
  </si>
  <si>
    <t>MARTES 18-01-2022</t>
  </si>
  <si>
    <t xml:space="preserve"> MIERCOLES 19-01-2022</t>
  </si>
  <si>
    <t>JUEVES 20-01-2022</t>
  </si>
  <si>
    <t>VIERNES 21-01-2022</t>
  </si>
  <si>
    <t>SABADO 22-01-2022</t>
  </si>
  <si>
    <t>LUNES 24-01-2022</t>
  </si>
  <si>
    <t>MARTES 25-01-2022</t>
  </si>
  <si>
    <t>MIERCOLES 26-01-2022</t>
  </si>
  <si>
    <t>JUEVES 27-01-2022</t>
  </si>
  <si>
    <t>VIERNES 28-01-2022</t>
  </si>
  <si>
    <t>SABADO 29-01-2022</t>
  </si>
  <si>
    <t>LUNES 31-01-2022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</si>
</sst>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\ #,##0;[Red]\-&quot;$&quot;\ #,##0"/>
    <numFmt numFmtId="44" formatCode="_-&quot;$&quot;\ * #,##0.00_-;\-&quot;$&quot;\ * #,##0.00_-;_-&quot;$&quot;\ * &quot;-&quot;??_-;_-@_-"/>
    <numFmt numFmtId="164" formatCode="&quot;$&quot;\ #,##0"/>
    <numFmt numFmtId="165" formatCode="_-&quot;$&quot;\ * #,##0_-;\-&quot;$&quot;\ * #,##0_-;_-&quot;$&quot;\ 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76">
    <xf numFmtId="0" fontId="0" fillId="0" borderId="0" xfId="0"/>
    <xf numFmtId="0" fontId="0" fillId="2" borderId="0" xfId="0" applyFill="1"/>
    <xf numFmtId="0" fontId="0" fillId="2" borderId="0" xfId="0" applyFill="1" applyBorder="1"/>
    <xf numFmtId="0" fontId="3" fillId="2" borderId="0" xfId="0" applyFont="1" applyFill="1"/>
    <xf numFmtId="0" fontId="3" fillId="2" borderId="0" xfId="0" applyFont="1" applyFill="1" applyBorder="1"/>
    <xf numFmtId="0" fontId="0" fillId="2" borderId="0" xfId="0" applyFill="1" applyAlignment="1"/>
    <xf numFmtId="0" fontId="2" fillId="2" borderId="0" xfId="0" applyFont="1" applyFill="1" applyAlignment="1"/>
    <xf numFmtId="0" fontId="2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 applyBorder="1" applyAlignment="1">
      <alignment wrapText="1"/>
    </xf>
    <xf numFmtId="14" fontId="0" fillId="2" borderId="0" xfId="0" applyNumberFormat="1" applyFill="1" applyBorder="1" applyAlignment="1">
      <alignment horizontal="left" wrapText="1"/>
    </xf>
    <xf numFmtId="0" fontId="8" fillId="3" borderId="8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0" fillId="2" borderId="11" xfId="0" applyFill="1" applyBorder="1"/>
    <xf numFmtId="0" fontId="0" fillId="6" borderId="10" xfId="0" applyFill="1" applyBorder="1"/>
    <xf numFmtId="164" fontId="0" fillId="6" borderId="12" xfId="0" applyNumberFormat="1" applyFill="1" applyBorder="1" applyAlignment="1">
      <alignment horizontal="right"/>
    </xf>
    <xf numFmtId="0" fontId="0" fillId="6" borderId="10" xfId="0" applyFill="1" applyBorder="1" applyAlignment="1">
      <alignment horizontal="center"/>
    </xf>
    <xf numFmtId="164" fontId="0" fillId="6" borderId="11" xfId="0" applyNumberFormat="1" applyFill="1" applyBorder="1" applyAlignment="1">
      <alignment horizontal="right"/>
    </xf>
    <xf numFmtId="3" fontId="0" fillId="3" borderId="13" xfId="0" applyNumberFormat="1" applyFill="1" applyBorder="1" applyAlignment="1">
      <alignment horizontal="right"/>
    </xf>
    <xf numFmtId="164" fontId="0" fillId="3" borderId="11" xfId="0" applyNumberFormat="1" applyFill="1" applyBorder="1" applyAlignment="1">
      <alignment horizontal="right"/>
    </xf>
    <xf numFmtId="0" fontId="0" fillId="7" borderId="13" xfId="0" applyFill="1" applyBorder="1"/>
    <xf numFmtId="164" fontId="0" fillId="7" borderId="14" xfId="0" applyNumberFormat="1" applyFill="1" applyBorder="1" applyAlignment="1">
      <alignment horizontal="right"/>
    </xf>
    <xf numFmtId="0" fontId="0" fillId="7" borderId="15" xfId="0" applyFill="1" applyBorder="1" applyAlignment="1">
      <alignment horizontal="center"/>
    </xf>
    <xf numFmtId="164" fontId="0" fillId="7" borderId="11" xfId="0" applyNumberFormat="1" applyFill="1" applyBorder="1" applyAlignment="1">
      <alignment horizontal="right"/>
    </xf>
    <xf numFmtId="3" fontId="0" fillId="4" borderId="13" xfId="0" applyNumberFormat="1" applyFill="1" applyBorder="1" applyAlignment="1">
      <alignment horizontal="right"/>
    </xf>
    <xf numFmtId="164" fontId="0" fillId="4" borderId="11" xfId="0" applyNumberFormat="1" applyFill="1" applyBorder="1" applyAlignment="1">
      <alignment horizontal="right"/>
    </xf>
    <xf numFmtId="0" fontId="0" fillId="8" borderId="10" xfId="0" applyFill="1" applyBorder="1"/>
    <xf numFmtId="164" fontId="0" fillId="8" borderId="12" xfId="0" applyNumberFormat="1" applyFill="1" applyBorder="1" applyAlignment="1">
      <alignment horizontal="right"/>
    </xf>
    <xf numFmtId="0" fontId="0" fillId="8" borderId="10" xfId="0" applyFill="1" applyBorder="1" applyAlignment="1">
      <alignment horizontal="center"/>
    </xf>
    <xf numFmtId="164" fontId="0" fillId="8" borderId="11" xfId="0" applyNumberFormat="1" applyFill="1" applyBorder="1" applyAlignment="1">
      <alignment horizontal="right"/>
    </xf>
    <xf numFmtId="3" fontId="0" fillId="5" borderId="13" xfId="0" applyNumberFormat="1" applyFill="1" applyBorder="1" applyAlignment="1">
      <alignment horizontal="right"/>
    </xf>
    <xf numFmtId="164" fontId="0" fillId="5" borderId="16" xfId="0" applyNumberFormat="1" applyFill="1" applyBorder="1" applyAlignment="1">
      <alignment horizontal="right"/>
    </xf>
    <xf numFmtId="1" fontId="0" fillId="2" borderId="17" xfId="0" applyNumberFormat="1" applyFont="1" applyFill="1" applyBorder="1" applyAlignment="1">
      <alignment horizontal="center"/>
    </xf>
    <xf numFmtId="164" fontId="0" fillId="2" borderId="14" xfId="0" applyNumberFormat="1" applyFont="1" applyFill="1" applyBorder="1"/>
    <xf numFmtId="164" fontId="0" fillId="2" borderId="0" xfId="0" applyNumberFormat="1" applyFill="1" applyBorder="1" applyAlignment="1">
      <alignment horizontal="left"/>
    </xf>
    <xf numFmtId="164" fontId="0" fillId="2" borderId="18" xfId="0" applyNumberFormat="1" applyFill="1" applyBorder="1"/>
    <xf numFmtId="0" fontId="0" fillId="2" borderId="20" xfId="0" applyFill="1" applyBorder="1"/>
    <xf numFmtId="0" fontId="0" fillId="6" borderId="21" xfId="0" applyFill="1" applyBorder="1"/>
    <xf numFmtId="164" fontId="0" fillId="6" borderId="22" xfId="0" applyNumberFormat="1" applyFill="1" applyBorder="1" applyAlignment="1">
      <alignment horizontal="right"/>
    </xf>
    <xf numFmtId="0" fontId="0" fillId="6" borderId="21" xfId="0" applyFill="1" applyBorder="1" applyAlignment="1">
      <alignment horizontal="center"/>
    </xf>
    <xf numFmtId="164" fontId="0" fillId="6" borderId="16" xfId="0" applyNumberFormat="1" applyFill="1" applyBorder="1" applyAlignment="1">
      <alignment horizontal="right"/>
    </xf>
    <xf numFmtId="3" fontId="0" fillId="3" borderId="23" xfId="0" applyNumberFormat="1" applyFill="1" applyBorder="1" applyAlignment="1">
      <alignment horizontal="right"/>
    </xf>
    <xf numFmtId="164" fontId="0" fillId="3" borderId="16" xfId="0" applyNumberFormat="1" applyFill="1" applyBorder="1" applyAlignment="1">
      <alignment horizontal="right"/>
    </xf>
    <xf numFmtId="0" fontId="0" fillId="7" borderId="23" xfId="0" applyFill="1" applyBorder="1"/>
    <xf numFmtId="164" fontId="0" fillId="7" borderId="24" xfId="0" applyNumberFormat="1" applyFill="1" applyBorder="1" applyAlignment="1">
      <alignment horizontal="right"/>
    </xf>
    <xf numFmtId="0" fontId="0" fillId="7" borderId="17" xfId="0" applyFill="1" applyBorder="1" applyAlignment="1">
      <alignment horizontal="center"/>
    </xf>
    <xf numFmtId="164" fontId="0" fillId="7" borderId="16" xfId="0" applyNumberFormat="1" applyFill="1" applyBorder="1" applyAlignment="1">
      <alignment horizontal="right"/>
    </xf>
    <xf numFmtId="3" fontId="0" fillId="4" borderId="23" xfId="0" applyNumberFormat="1" applyFill="1" applyBorder="1" applyAlignment="1">
      <alignment horizontal="right"/>
    </xf>
    <xf numFmtId="164" fontId="0" fillId="4" borderId="16" xfId="0" applyNumberFormat="1" applyFill="1" applyBorder="1" applyAlignment="1">
      <alignment horizontal="right"/>
    </xf>
    <xf numFmtId="0" fontId="0" fillId="8" borderId="21" xfId="0" applyFill="1" applyBorder="1"/>
    <xf numFmtId="164" fontId="0" fillId="8" borderId="22" xfId="0" applyNumberFormat="1" applyFill="1" applyBorder="1" applyAlignment="1">
      <alignment horizontal="right"/>
    </xf>
    <xf numFmtId="0" fontId="0" fillId="8" borderId="21" xfId="0" applyFill="1" applyBorder="1" applyAlignment="1">
      <alignment horizontal="center"/>
    </xf>
    <xf numFmtId="164" fontId="0" fillId="8" borderId="16" xfId="0" applyNumberFormat="1" applyFill="1" applyBorder="1" applyAlignment="1">
      <alignment horizontal="right"/>
    </xf>
    <xf numFmtId="3" fontId="0" fillId="5" borderId="23" xfId="0" applyNumberFormat="1" applyFill="1" applyBorder="1" applyAlignment="1">
      <alignment horizontal="right"/>
    </xf>
    <xf numFmtId="164" fontId="0" fillId="2" borderId="25" xfId="0" applyNumberFormat="1" applyFill="1" applyBorder="1"/>
    <xf numFmtId="0" fontId="0" fillId="6" borderId="19" xfId="0" applyFill="1" applyBorder="1"/>
    <xf numFmtId="0" fontId="0" fillId="7" borderId="26" xfId="0" applyFill="1" applyBorder="1"/>
    <xf numFmtId="0" fontId="0" fillId="7" borderId="27" xfId="0" applyFill="1" applyBorder="1" applyAlignment="1">
      <alignment horizontal="center"/>
    </xf>
    <xf numFmtId="0" fontId="0" fillId="8" borderId="19" xfId="0" applyFill="1" applyBorder="1"/>
    <xf numFmtId="0" fontId="0" fillId="8" borderId="19" xfId="0" applyFill="1" applyBorder="1" applyAlignment="1">
      <alignment horizontal="center"/>
    </xf>
    <xf numFmtId="164" fontId="0" fillId="2" borderId="0" xfId="0" applyNumberFormat="1" applyFill="1" applyBorder="1"/>
    <xf numFmtId="164" fontId="10" fillId="2" borderId="0" xfId="0" applyNumberFormat="1" applyFont="1" applyFill="1" applyBorder="1"/>
    <xf numFmtId="1" fontId="0" fillId="6" borderId="21" xfId="0" applyNumberFormat="1" applyFill="1" applyBorder="1" applyAlignment="1">
      <alignment horizontal="center"/>
    </xf>
    <xf numFmtId="1" fontId="0" fillId="7" borderId="27" xfId="0" applyNumberFormat="1" applyFill="1" applyBorder="1" applyAlignment="1">
      <alignment horizontal="center"/>
    </xf>
    <xf numFmtId="1" fontId="0" fillId="8" borderId="19" xfId="0" applyNumberFormat="1" applyFill="1" applyBorder="1" applyAlignment="1">
      <alignment horizontal="center"/>
    </xf>
    <xf numFmtId="164" fontId="0" fillId="6" borderId="28" xfId="0" applyNumberFormat="1" applyFill="1" applyBorder="1" applyAlignment="1">
      <alignment horizontal="right"/>
    </xf>
    <xf numFmtId="0" fontId="0" fillId="2" borderId="30" xfId="0" applyFill="1" applyBorder="1"/>
    <xf numFmtId="0" fontId="0" fillId="6" borderId="31" xfId="0" applyFill="1" applyBorder="1"/>
    <xf numFmtId="164" fontId="0" fillId="6" borderId="32" xfId="0" applyNumberFormat="1" applyFill="1" applyBorder="1" applyAlignment="1">
      <alignment horizontal="right"/>
    </xf>
    <xf numFmtId="0" fontId="0" fillId="6" borderId="33" xfId="0" applyFill="1" applyBorder="1" applyAlignment="1">
      <alignment horizontal="center"/>
    </xf>
    <xf numFmtId="164" fontId="0" fillId="6" borderId="34" xfId="0" applyNumberFormat="1" applyFill="1" applyBorder="1" applyAlignment="1">
      <alignment horizontal="right"/>
    </xf>
    <xf numFmtId="3" fontId="0" fillId="3" borderId="35" xfId="0" applyNumberFormat="1" applyFill="1" applyBorder="1" applyAlignment="1">
      <alignment horizontal="right"/>
    </xf>
    <xf numFmtId="164" fontId="0" fillId="3" borderId="34" xfId="0" applyNumberFormat="1" applyFill="1" applyBorder="1" applyAlignment="1">
      <alignment horizontal="right"/>
    </xf>
    <xf numFmtId="0" fontId="0" fillId="7" borderId="36" xfId="0" applyFill="1" applyBorder="1"/>
    <xf numFmtId="164" fontId="0" fillId="7" borderId="37" xfId="0" applyNumberFormat="1" applyFill="1" applyBorder="1" applyAlignment="1">
      <alignment horizontal="right"/>
    </xf>
    <xf numFmtId="0" fontId="0" fillId="7" borderId="38" xfId="0" applyFill="1" applyBorder="1" applyAlignment="1">
      <alignment horizontal="center"/>
    </xf>
    <xf numFmtId="164" fontId="0" fillId="7" borderId="34" xfId="0" applyNumberFormat="1" applyFill="1" applyBorder="1" applyAlignment="1">
      <alignment horizontal="right"/>
    </xf>
    <xf numFmtId="3" fontId="0" fillId="4" borderId="35" xfId="0" applyNumberFormat="1" applyFill="1" applyBorder="1" applyAlignment="1">
      <alignment horizontal="right"/>
    </xf>
    <xf numFmtId="164" fontId="0" fillId="4" borderId="39" xfId="0" applyNumberFormat="1" applyFill="1" applyBorder="1" applyAlignment="1">
      <alignment horizontal="right"/>
    </xf>
    <xf numFmtId="0" fontId="0" fillId="8" borderId="31" xfId="0" applyFill="1" applyBorder="1"/>
    <xf numFmtId="0" fontId="0" fillId="8" borderId="31" xfId="0" applyFill="1" applyBorder="1" applyAlignment="1">
      <alignment horizontal="center"/>
    </xf>
    <xf numFmtId="164" fontId="0" fillId="8" borderId="34" xfId="0" applyNumberFormat="1" applyFill="1" applyBorder="1" applyAlignment="1">
      <alignment horizontal="right"/>
    </xf>
    <xf numFmtId="3" fontId="0" fillId="5" borderId="35" xfId="0" applyNumberFormat="1" applyFill="1" applyBorder="1" applyAlignment="1">
      <alignment horizontal="right"/>
    </xf>
    <xf numFmtId="164" fontId="0" fillId="5" borderId="39" xfId="0" applyNumberFormat="1" applyFill="1" applyBorder="1" applyAlignment="1">
      <alignment horizontal="right"/>
    </xf>
    <xf numFmtId="164" fontId="0" fillId="2" borderId="40" xfId="0" applyNumberFormat="1" applyFill="1" applyBorder="1"/>
    <xf numFmtId="0" fontId="4" fillId="6" borderId="41" xfId="0" applyFont="1" applyFill="1" applyBorder="1"/>
    <xf numFmtId="164" fontId="4" fillId="6" borderId="42" xfId="0" applyNumberFormat="1" applyFont="1" applyFill="1" applyBorder="1"/>
    <xf numFmtId="164" fontId="4" fillId="6" borderId="43" xfId="0" applyNumberFormat="1" applyFont="1" applyFill="1" applyBorder="1"/>
    <xf numFmtId="3" fontId="4" fillId="6" borderId="43" xfId="0" applyNumberFormat="1" applyFont="1" applyFill="1" applyBorder="1"/>
    <xf numFmtId="164" fontId="2" fillId="9" borderId="43" xfId="0" applyNumberFormat="1" applyFont="1" applyFill="1" applyBorder="1"/>
    <xf numFmtId="0" fontId="4" fillId="7" borderId="41" xfId="0" applyFont="1" applyFill="1" applyBorder="1"/>
    <xf numFmtId="164" fontId="4" fillId="7" borderId="44" xfId="0" applyNumberFormat="1" applyFont="1" applyFill="1" applyBorder="1"/>
    <xf numFmtId="164" fontId="4" fillId="7" borderId="43" xfId="0" applyNumberFormat="1" applyFont="1" applyFill="1" applyBorder="1"/>
    <xf numFmtId="3" fontId="4" fillId="4" borderId="41" xfId="0" applyNumberFormat="1" applyFont="1" applyFill="1" applyBorder="1"/>
    <xf numFmtId="164" fontId="4" fillId="9" borderId="43" xfId="0" applyNumberFormat="1" applyFont="1" applyFill="1" applyBorder="1"/>
    <xf numFmtId="0" fontId="4" fillId="8" borderId="41" xfId="0" applyFont="1" applyFill="1" applyBorder="1"/>
    <xf numFmtId="164" fontId="4" fillId="8" borderId="42" xfId="0" applyNumberFormat="1" applyFont="1" applyFill="1" applyBorder="1"/>
    <xf numFmtId="164" fontId="4" fillId="8" borderId="43" xfId="0" applyNumberFormat="1" applyFont="1" applyFill="1" applyBorder="1"/>
    <xf numFmtId="3" fontId="4" fillId="5" borderId="41" xfId="0" applyNumberFormat="1" applyFont="1" applyFill="1" applyBorder="1"/>
    <xf numFmtId="0" fontId="4" fillId="2" borderId="27" xfId="0" applyFont="1" applyFill="1" applyBorder="1"/>
    <xf numFmtId="164" fontId="0" fillId="2" borderId="0" xfId="0" applyNumberFormat="1" applyFill="1"/>
    <xf numFmtId="164" fontId="2" fillId="2" borderId="0" xfId="0" applyNumberFormat="1" applyFont="1" applyFill="1" applyBorder="1"/>
    <xf numFmtId="0" fontId="0" fillId="9" borderId="0" xfId="0" applyFill="1" applyBorder="1"/>
    <xf numFmtId="164" fontId="2" fillId="9" borderId="0" xfId="0" applyNumberFormat="1" applyFont="1" applyFill="1" applyBorder="1"/>
    <xf numFmtId="0" fontId="2" fillId="2" borderId="0" xfId="0" applyFont="1" applyFill="1"/>
    <xf numFmtId="165" fontId="2" fillId="2" borderId="0" xfId="1" applyNumberFormat="1" applyFont="1" applyFill="1" applyAlignment="1"/>
    <xf numFmtId="165" fontId="2" fillId="2" borderId="0" xfId="1" applyNumberFormat="1" applyFont="1" applyFill="1"/>
    <xf numFmtId="165" fontId="10" fillId="2" borderId="0" xfId="1" applyNumberFormat="1" applyFont="1" applyFill="1"/>
    <xf numFmtId="0" fontId="0" fillId="2" borderId="0" xfId="0" applyFont="1" applyFill="1"/>
    <xf numFmtId="165" fontId="1" fillId="2" borderId="0" xfId="1" applyNumberFormat="1" applyFont="1" applyFill="1"/>
    <xf numFmtId="0" fontId="0" fillId="2" borderId="0" xfId="0" applyFont="1" applyFill="1" applyBorder="1"/>
    <xf numFmtId="165" fontId="1" fillId="2" borderId="0" xfId="1" applyNumberFormat="1" applyFont="1" applyFill="1" applyBorder="1"/>
    <xf numFmtId="165" fontId="0" fillId="2" borderId="0" xfId="1" applyNumberFormat="1" applyFont="1" applyFill="1" applyBorder="1"/>
    <xf numFmtId="0" fontId="2" fillId="2" borderId="0" xfId="0" applyFont="1" applyFill="1" applyBorder="1"/>
    <xf numFmtId="165" fontId="0" fillId="2" borderId="0" xfId="1" applyNumberFormat="1" applyFont="1" applyFill="1"/>
    <xf numFmtId="165" fontId="0" fillId="2" borderId="0" xfId="0" applyNumberFormat="1" applyFont="1" applyFill="1"/>
    <xf numFmtId="0" fontId="5" fillId="2" borderId="0" xfId="0" applyFont="1" applyFill="1"/>
    <xf numFmtId="165" fontId="11" fillId="2" borderId="0" xfId="0" applyNumberFormat="1" applyFont="1" applyFill="1"/>
    <xf numFmtId="165" fontId="2" fillId="9" borderId="0" xfId="1" applyNumberFormat="1" applyFont="1" applyFill="1"/>
    <xf numFmtId="165" fontId="2" fillId="2" borderId="0" xfId="0" applyNumberFormat="1" applyFont="1" applyFill="1" applyBorder="1"/>
    <xf numFmtId="165" fontId="0" fillId="2" borderId="0" xfId="0" applyNumberFormat="1" applyFill="1" applyBorder="1"/>
    <xf numFmtId="165" fontId="0" fillId="2" borderId="0" xfId="0" applyNumberFormat="1" applyFill="1"/>
    <xf numFmtId="165" fontId="2" fillId="2" borderId="0" xfId="0" applyNumberFormat="1" applyFont="1" applyFill="1"/>
    <xf numFmtId="6" fontId="0" fillId="2" borderId="0" xfId="0" applyNumberFormat="1" applyFill="1" applyBorder="1"/>
    <xf numFmtId="14" fontId="0" fillId="2" borderId="0" xfId="0" applyNumberFormat="1" applyFill="1" applyAlignment="1">
      <alignment wrapText="1"/>
    </xf>
    <xf numFmtId="16" fontId="12" fillId="10" borderId="5" xfId="0" applyNumberFormat="1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/>
    </xf>
    <xf numFmtId="3" fontId="0" fillId="2" borderId="24" xfId="0" applyNumberFormat="1" applyFill="1" applyBorder="1"/>
    <xf numFmtId="3" fontId="0" fillId="2" borderId="37" xfId="0" applyNumberFormat="1" applyFill="1" applyBorder="1"/>
    <xf numFmtId="0" fontId="0" fillId="2" borderId="18" xfId="0" applyFill="1" applyBorder="1"/>
    <xf numFmtId="3" fontId="0" fillId="2" borderId="47" xfId="0" applyNumberFormat="1" applyFill="1" applyBorder="1"/>
    <xf numFmtId="3" fontId="0" fillId="2" borderId="18" xfId="0" applyNumberFormat="1" applyFill="1" applyBorder="1"/>
    <xf numFmtId="0" fontId="0" fillId="2" borderId="25" xfId="0" applyFill="1" applyBorder="1"/>
    <xf numFmtId="3" fontId="0" fillId="2" borderId="25" xfId="0" applyNumberFormat="1" applyFill="1" applyBorder="1"/>
    <xf numFmtId="0" fontId="0" fillId="2" borderId="40" xfId="0" applyFill="1" applyBorder="1"/>
    <xf numFmtId="3" fontId="0" fillId="2" borderId="0" xfId="0" applyNumberFormat="1" applyFill="1"/>
    <xf numFmtId="16" fontId="12" fillId="2" borderId="46" xfId="0" applyNumberFormat="1" applyFont="1" applyFill="1" applyBorder="1" applyAlignment="1">
      <alignment horizontal="center" vertical="center" wrapText="1"/>
    </xf>
    <xf numFmtId="3" fontId="0" fillId="2" borderId="0" xfId="0" applyNumberFormat="1" applyFill="1" applyBorder="1"/>
    <xf numFmtId="16" fontId="12" fillId="12" borderId="46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wrapText="1"/>
    </xf>
    <xf numFmtId="0" fontId="0" fillId="2" borderId="0" xfId="0" applyFill="1" applyAlignment="1">
      <alignment wrapText="1"/>
    </xf>
    <xf numFmtId="164" fontId="0" fillId="9" borderId="25" xfId="0" applyNumberFormat="1" applyFill="1" applyBorder="1"/>
    <xf numFmtId="1" fontId="0" fillId="9" borderId="17" xfId="0" applyNumberFormat="1" applyFont="1" applyFill="1" applyBorder="1" applyAlignment="1">
      <alignment horizontal="center"/>
    </xf>
    <xf numFmtId="0" fontId="0" fillId="9" borderId="20" xfId="0" applyFill="1" applyBorder="1"/>
    <xf numFmtId="164" fontId="0" fillId="9" borderId="40" xfId="0" applyNumberFormat="1" applyFill="1" applyBorder="1"/>
    <xf numFmtId="0" fontId="0" fillId="9" borderId="30" xfId="0" applyFill="1" applyBorder="1"/>
    <xf numFmtId="164" fontId="0" fillId="9" borderId="18" xfId="0" applyNumberFormat="1" applyFill="1" applyBorder="1"/>
    <xf numFmtId="0" fontId="0" fillId="9" borderId="11" xfId="0" applyFill="1" applyBorder="1"/>
    <xf numFmtId="0" fontId="2" fillId="2" borderId="0" xfId="0" applyFont="1" applyFill="1" applyBorder="1" applyAlignment="1">
      <alignment wrapText="1"/>
    </xf>
    <xf numFmtId="0" fontId="0" fillId="2" borderId="0" xfId="0" applyFill="1" applyAlignment="1">
      <alignment wrapText="1"/>
    </xf>
    <xf numFmtId="3" fontId="0" fillId="2" borderId="40" xfId="0" applyNumberFormat="1" applyFill="1" applyBorder="1"/>
    <xf numFmtId="16" fontId="12" fillId="13" borderId="2" xfId="0" applyNumberFormat="1" applyFont="1" applyFill="1" applyBorder="1" applyAlignment="1">
      <alignment horizontal="center" vertical="center" wrapText="1"/>
    </xf>
    <xf numFmtId="3" fontId="0" fillId="2" borderId="10" xfId="0" applyNumberFormat="1" applyFill="1" applyBorder="1"/>
    <xf numFmtId="3" fontId="0" fillId="2" borderId="19" xfId="0" applyNumberFormat="1" applyFill="1" applyBorder="1"/>
    <xf numFmtId="3" fontId="0" fillId="2" borderId="29" xfId="0" applyNumberFormat="1" applyFill="1" applyBorder="1"/>
    <xf numFmtId="0" fontId="10" fillId="2" borderId="0" xfId="0" applyFont="1" applyFill="1"/>
    <xf numFmtId="0" fontId="10" fillId="2" borderId="0" xfId="0" applyFont="1" applyFill="1" applyBorder="1"/>
    <xf numFmtId="0" fontId="0" fillId="0" borderId="0" xfId="0" applyAlignment="1">
      <alignment shrinkToFit="1"/>
    </xf>
    <xf numFmtId="0" fontId="2" fillId="2" borderId="0" xfId="0" applyFont="1" applyFill="1" applyBorder="1" applyAlignment="1">
      <alignment wrapText="1"/>
    </xf>
    <xf numFmtId="0" fontId="0" fillId="2" borderId="0" xfId="0" applyFill="1" applyAlignment="1">
      <alignment wrapText="1"/>
    </xf>
    <xf numFmtId="3" fontId="0" fillId="2" borderId="15" xfId="0" applyNumberFormat="1" applyFill="1" applyBorder="1"/>
    <xf numFmtId="3" fontId="0" fillId="2" borderId="27" xfId="0" applyNumberFormat="1" applyFill="1" applyBorder="1"/>
    <xf numFmtId="3" fontId="0" fillId="2" borderId="48" xfId="0" applyNumberFormat="1" applyFill="1" applyBorder="1"/>
    <xf numFmtId="164" fontId="0" fillId="2" borderId="2" xfId="0" applyNumberFormat="1" applyFill="1" applyBorder="1" applyAlignment="1">
      <alignment horizontal="center"/>
    </xf>
    <xf numFmtId="164" fontId="0" fillId="2" borderId="25" xfId="0" applyNumberFormat="1" applyFill="1" applyBorder="1" applyAlignment="1">
      <alignment horizontal="center"/>
    </xf>
    <xf numFmtId="164" fontId="0" fillId="2" borderId="50" xfId="0" applyNumberFormat="1" applyFill="1" applyBorder="1" applyAlignment="1">
      <alignment horizontal="center"/>
    </xf>
    <xf numFmtId="164" fontId="0" fillId="2" borderId="40" xfId="0" applyNumberFormat="1" applyFill="1" applyBorder="1" applyAlignment="1">
      <alignment horizontal="center"/>
    </xf>
    <xf numFmtId="164" fontId="0" fillId="3" borderId="22" xfId="0" applyNumberFormat="1" applyFill="1" applyBorder="1" applyAlignment="1">
      <alignment horizontal="right"/>
    </xf>
    <xf numFmtId="164" fontId="0" fillId="7" borderId="22" xfId="0" applyNumberFormat="1" applyFill="1" applyBorder="1" applyAlignment="1">
      <alignment horizontal="right"/>
    </xf>
    <xf numFmtId="164" fontId="0" fillId="7" borderId="28" xfId="0" applyNumberFormat="1" applyFill="1" applyBorder="1" applyAlignment="1">
      <alignment horizontal="right"/>
    </xf>
    <xf numFmtId="0" fontId="10" fillId="9" borderId="20" xfId="0" applyFont="1" applyFill="1" applyBorder="1"/>
    <xf numFmtId="16" fontId="12" fillId="10" borderId="2" xfId="0" applyNumberFormat="1" applyFont="1" applyFill="1" applyBorder="1" applyAlignment="1">
      <alignment horizontal="center" vertical="center" wrapText="1"/>
    </xf>
    <xf numFmtId="0" fontId="0" fillId="2" borderId="24" xfId="0" applyFill="1" applyBorder="1"/>
    <xf numFmtId="0" fontId="0" fillId="2" borderId="10" xfId="0" applyFill="1" applyBorder="1"/>
    <xf numFmtId="0" fontId="0" fillId="2" borderId="47" xfId="0" applyFill="1" applyBorder="1"/>
    <xf numFmtId="0" fontId="0" fillId="2" borderId="19" xfId="0" applyFill="1" applyBorder="1"/>
    <xf numFmtId="0" fontId="0" fillId="2" borderId="0" xfId="0" applyFill="1" applyAlignment="1">
      <alignment wrapText="1"/>
    </xf>
    <xf numFmtId="164" fontId="0" fillId="2" borderId="18" xfId="0" applyNumberFormat="1" applyFill="1" applyBorder="1" applyAlignment="1">
      <alignment horizontal="right"/>
    </xf>
    <xf numFmtId="164" fontId="0" fillId="2" borderId="14" xfId="0" applyNumberFormat="1" applyFont="1" applyFill="1" applyBorder="1" applyAlignment="1">
      <alignment horizontal="right"/>
    </xf>
    <xf numFmtId="0" fontId="0" fillId="2" borderId="0" xfId="0" applyFill="1" applyAlignment="1">
      <alignment wrapText="1"/>
    </xf>
    <xf numFmtId="0" fontId="8" fillId="11" borderId="8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9" fillId="11" borderId="8" xfId="0" applyFont="1" applyFill="1" applyBorder="1" applyAlignment="1">
      <alignment horizontal="center" vertical="center"/>
    </xf>
    <xf numFmtId="3" fontId="0" fillId="11" borderId="13" xfId="0" applyNumberFormat="1" applyFill="1" applyBorder="1" applyAlignment="1">
      <alignment horizontal="right"/>
    </xf>
    <xf numFmtId="164" fontId="0" fillId="11" borderId="11" xfId="0" applyNumberFormat="1" applyFill="1" applyBorder="1" applyAlignment="1">
      <alignment horizontal="right"/>
    </xf>
    <xf numFmtId="3" fontId="0" fillId="11" borderId="23" xfId="0" applyNumberFormat="1" applyFill="1" applyBorder="1" applyAlignment="1">
      <alignment horizontal="right"/>
    </xf>
    <xf numFmtId="164" fontId="0" fillId="11" borderId="16" xfId="0" applyNumberFormat="1" applyFill="1" applyBorder="1" applyAlignment="1">
      <alignment horizontal="right"/>
    </xf>
    <xf numFmtId="3" fontId="0" fillId="11" borderId="35" xfId="0" applyNumberFormat="1" applyFill="1" applyBorder="1" applyAlignment="1">
      <alignment horizontal="right"/>
    </xf>
    <xf numFmtId="164" fontId="0" fillId="11" borderId="34" xfId="0" applyNumberFormat="1" applyFill="1" applyBorder="1" applyAlignment="1">
      <alignment horizontal="right"/>
    </xf>
    <xf numFmtId="0" fontId="0" fillId="10" borderId="10" xfId="0" applyFill="1" applyBorder="1"/>
    <xf numFmtId="164" fontId="0" fillId="10" borderId="12" xfId="0" applyNumberFormat="1" applyFill="1" applyBorder="1" applyAlignment="1">
      <alignment horizontal="right"/>
    </xf>
    <xf numFmtId="0" fontId="0" fillId="10" borderId="10" xfId="0" applyFill="1" applyBorder="1" applyAlignment="1">
      <alignment horizontal="center"/>
    </xf>
    <xf numFmtId="164" fontId="0" fillId="10" borderId="11" xfId="0" applyNumberFormat="1" applyFill="1" applyBorder="1" applyAlignment="1">
      <alignment horizontal="right"/>
    </xf>
    <xf numFmtId="0" fontId="0" fillId="10" borderId="21" xfId="0" applyFill="1" applyBorder="1"/>
    <xf numFmtId="164" fontId="0" fillId="10" borderId="22" xfId="0" applyNumberFormat="1" applyFill="1" applyBorder="1" applyAlignment="1">
      <alignment horizontal="right"/>
    </xf>
    <xf numFmtId="0" fontId="0" fillId="10" borderId="21" xfId="0" applyFill="1" applyBorder="1" applyAlignment="1">
      <alignment horizontal="center"/>
    </xf>
    <xf numFmtId="164" fontId="0" fillId="10" borderId="16" xfId="0" applyNumberFormat="1" applyFill="1" applyBorder="1" applyAlignment="1">
      <alignment horizontal="right"/>
    </xf>
    <xf numFmtId="0" fontId="0" fillId="10" borderId="19" xfId="0" applyFill="1" applyBorder="1"/>
    <xf numFmtId="1" fontId="0" fillId="10" borderId="21" xfId="0" applyNumberFormat="1" applyFill="1" applyBorder="1" applyAlignment="1">
      <alignment horizontal="center"/>
    </xf>
    <xf numFmtId="164" fontId="0" fillId="10" borderId="28" xfId="0" applyNumberFormat="1" applyFill="1" applyBorder="1" applyAlignment="1">
      <alignment horizontal="right"/>
    </xf>
    <xf numFmtId="0" fontId="0" fillId="10" borderId="31" xfId="0" applyFill="1" applyBorder="1"/>
    <xf numFmtId="164" fontId="0" fillId="10" borderId="32" xfId="0" applyNumberFormat="1" applyFill="1" applyBorder="1" applyAlignment="1">
      <alignment horizontal="right"/>
    </xf>
    <xf numFmtId="0" fontId="0" fillId="10" borderId="33" xfId="0" applyFill="1" applyBorder="1" applyAlignment="1">
      <alignment horizontal="center"/>
    </xf>
    <xf numFmtId="164" fontId="0" fillId="10" borderId="34" xfId="0" applyNumberFormat="1" applyFill="1" applyBorder="1" applyAlignment="1">
      <alignment horizontal="right"/>
    </xf>
    <xf numFmtId="0" fontId="4" fillId="10" borderId="41" xfId="0" applyFont="1" applyFill="1" applyBorder="1"/>
    <xf numFmtId="164" fontId="4" fillId="10" borderId="42" xfId="0" applyNumberFormat="1" applyFont="1" applyFill="1" applyBorder="1"/>
    <xf numFmtId="164" fontId="4" fillId="10" borderId="43" xfId="0" applyNumberFormat="1" applyFont="1" applyFill="1" applyBorder="1"/>
    <xf numFmtId="3" fontId="4" fillId="10" borderId="43" xfId="0" applyNumberFormat="1" applyFont="1" applyFill="1" applyBorder="1"/>
    <xf numFmtId="164" fontId="0" fillId="2" borderId="25" xfId="0" applyNumberFormat="1" applyFill="1" applyBorder="1" applyAlignment="1">
      <alignment horizontal="right"/>
    </xf>
    <xf numFmtId="164" fontId="0" fillId="2" borderId="40" xfId="0" applyNumberFormat="1" applyFill="1" applyBorder="1" applyAlignment="1">
      <alignment horizontal="right"/>
    </xf>
    <xf numFmtId="164" fontId="0" fillId="9" borderId="14" xfId="0" applyNumberFormat="1" applyFont="1" applyFill="1" applyBorder="1" applyAlignment="1">
      <alignment horizontal="right"/>
    </xf>
    <xf numFmtId="164" fontId="0" fillId="9" borderId="25" xfId="0" applyNumberFormat="1" applyFill="1" applyBorder="1" applyAlignment="1">
      <alignment horizontal="right"/>
    </xf>
    <xf numFmtId="0" fontId="0" fillId="10" borderId="15" xfId="0" applyFill="1" applyBorder="1" applyAlignment="1">
      <alignment horizontal="center"/>
    </xf>
    <xf numFmtId="0" fontId="0" fillId="10" borderId="17" xfId="0" applyFill="1" applyBorder="1" applyAlignment="1">
      <alignment horizontal="center"/>
    </xf>
    <xf numFmtId="1" fontId="0" fillId="10" borderId="17" xfId="0" applyNumberFormat="1" applyFill="1" applyBorder="1" applyAlignment="1">
      <alignment horizontal="center"/>
    </xf>
    <xf numFmtId="0" fontId="0" fillId="10" borderId="53" xfId="0" applyFill="1" applyBorder="1" applyAlignment="1">
      <alignment horizontal="center"/>
    </xf>
    <xf numFmtId="164" fontId="4" fillId="10" borderId="44" xfId="0" applyNumberFormat="1" applyFont="1" applyFill="1" applyBorder="1"/>
    <xf numFmtId="164" fontId="0" fillId="9" borderId="18" xfId="0" applyNumberFormat="1" applyFill="1" applyBorder="1" applyAlignment="1">
      <alignment horizontal="right"/>
    </xf>
    <xf numFmtId="164" fontId="0" fillId="10" borderId="49" xfId="0" applyNumberFormat="1" applyFill="1" applyBorder="1" applyAlignment="1">
      <alignment horizontal="right"/>
    </xf>
    <xf numFmtId="0" fontId="0" fillId="10" borderId="51" xfId="0" applyFill="1" applyBorder="1" applyAlignment="1">
      <alignment horizontal="center"/>
    </xf>
    <xf numFmtId="164" fontId="0" fillId="10" borderId="39" xfId="0" applyNumberFormat="1" applyFill="1" applyBorder="1" applyAlignment="1">
      <alignment horizontal="right"/>
    </xf>
    <xf numFmtId="164" fontId="0" fillId="7" borderId="49" xfId="0" applyNumberFormat="1" applyFill="1" applyBorder="1" applyAlignment="1">
      <alignment horizontal="right"/>
    </xf>
    <xf numFmtId="0" fontId="0" fillId="7" borderId="10" xfId="0" applyFill="1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1" fontId="0" fillId="7" borderId="19" xfId="0" applyNumberFormat="1" applyFill="1" applyBorder="1" applyAlignment="1">
      <alignment horizontal="center"/>
    </xf>
    <xf numFmtId="0" fontId="0" fillId="7" borderId="29" xfId="0" applyFill="1" applyBorder="1" applyAlignment="1">
      <alignment horizontal="center"/>
    </xf>
    <xf numFmtId="164" fontId="0" fillId="7" borderId="39" xfId="0" applyNumberFormat="1" applyFill="1" applyBorder="1" applyAlignment="1">
      <alignment horizontal="right"/>
    </xf>
    <xf numFmtId="164" fontId="0" fillId="3" borderId="12" xfId="0" applyNumberFormat="1" applyFill="1" applyBorder="1" applyAlignment="1">
      <alignment horizontal="right"/>
    </xf>
    <xf numFmtId="164" fontId="0" fillId="3" borderId="52" xfId="0" applyNumberFormat="1" applyFill="1" applyBorder="1" applyAlignment="1">
      <alignment horizontal="right"/>
    </xf>
    <xf numFmtId="0" fontId="4" fillId="10" borderId="51" xfId="0" applyFont="1" applyFill="1" applyBorder="1"/>
    <xf numFmtId="164" fontId="0" fillId="10" borderId="20" xfId="0" applyNumberFormat="1" applyFill="1" applyBorder="1" applyAlignment="1">
      <alignment horizontal="right"/>
    </xf>
    <xf numFmtId="0" fontId="0" fillId="10" borderId="29" xfId="0" applyFill="1" applyBorder="1"/>
    <xf numFmtId="164" fontId="0" fillId="10" borderId="30" xfId="0" applyNumberFormat="1" applyFill="1" applyBorder="1" applyAlignment="1">
      <alignment horizontal="right"/>
    </xf>
    <xf numFmtId="0" fontId="4" fillId="7" borderId="51" xfId="0" applyFont="1" applyFill="1" applyBorder="1"/>
    <xf numFmtId="0" fontId="0" fillId="7" borderId="54" xfId="0" applyFill="1" applyBorder="1"/>
    <xf numFmtId="0" fontId="2" fillId="2" borderId="0" xfId="0" applyFont="1" applyFill="1" applyBorder="1" applyAlignment="1">
      <alignment wrapText="1"/>
    </xf>
    <xf numFmtId="0" fontId="0" fillId="2" borderId="0" xfId="0" applyFill="1" applyAlignment="1">
      <alignment wrapText="1"/>
    </xf>
    <xf numFmtId="164" fontId="0" fillId="10" borderId="24" xfId="0" applyNumberFormat="1" applyFill="1" applyBorder="1" applyAlignment="1">
      <alignment horizontal="right"/>
    </xf>
    <xf numFmtId="164" fontId="0" fillId="10" borderId="14" xfId="0" applyNumberFormat="1" applyFill="1" applyBorder="1" applyAlignment="1">
      <alignment horizontal="right"/>
    </xf>
    <xf numFmtId="164" fontId="0" fillId="10" borderId="37" xfId="0" applyNumberFormat="1" applyFill="1" applyBorder="1" applyAlignment="1">
      <alignment horizontal="right"/>
    </xf>
    <xf numFmtId="164" fontId="10" fillId="2" borderId="25" xfId="0" applyNumberFormat="1" applyFont="1" applyFill="1" applyBorder="1" applyAlignment="1">
      <alignment horizontal="right"/>
    </xf>
    <xf numFmtId="0" fontId="2" fillId="2" borderId="0" xfId="0" applyFont="1" applyFill="1" applyBorder="1" applyAlignment="1">
      <alignment wrapText="1"/>
    </xf>
    <xf numFmtId="0" fontId="0" fillId="2" borderId="0" xfId="0" applyFill="1" applyAlignment="1">
      <alignment wrapText="1"/>
    </xf>
    <xf numFmtId="0" fontId="0" fillId="6" borderId="19" xfId="0" applyFill="1" applyBorder="1" applyAlignment="1">
      <alignment horizontal="center"/>
    </xf>
    <xf numFmtId="1" fontId="0" fillId="6" borderId="19" xfId="0" applyNumberFormat="1" applyFill="1" applyBorder="1" applyAlignment="1">
      <alignment horizontal="center"/>
    </xf>
    <xf numFmtId="0" fontId="0" fillId="6" borderId="29" xfId="0" applyFill="1" applyBorder="1" applyAlignment="1">
      <alignment horizontal="center"/>
    </xf>
    <xf numFmtId="164" fontId="0" fillId="6" borderId="39" xfId="0" applyNumberFormat="1" applyFill="1" applyBorder="1" applyAlignment="1">
      <alignment horizontal="right"/>
    </xf>
    <xf numFmtId="16" fontId="12" fillId="14" borderId="46" xfId="0" applyNumberFormat="1" applyFont="1" applyFill="1" applyBorder="1" applyAlignment="1">
      <alignment horizontal="center" vertical="center" wrapText="1"/>
    </xf>
    <xf numFmtId="0" fontId="0" fillId="2" borderId="29" xfId="0" applyFill="1" applyBorder="1"/>
    <xf numFmtId="0" fontId="0" fillId="2" borderId="37" xfId="0" applyFill="1" applyBorder="1"/>
    <xf numFmtId="0" fontId="0" fillId="3" borderId="55" xfId="0" applyFill="1" applyBorder="1"/>
    <xf numFmtId="0" fontId="2" fillId="2" borderId="0" xfId="0" applyFont="1" applyFill="1" applyBorder="1" applyAlignment="1">
      <alignment wrapText="1"/>
    </xf>
    <xf numFmtId="0" fontId="0" fillId="2" borderId="0" xfId="0" applyFill="1" applyAlignment="1">
      <alignment wrapText="1"/>
    </xf>
    <xf numFmtId="0" fontId="10" fillId="2" borderId="20" xfId="0" applyFont="1" applyFill="1" applyBorder="1"/>
    <xf numFmtId="1" fontId="10" fillId="2" borderId="17" xfId="0" applyNumberFormat="1" applyFont="1" applyFill="1" applyBorder="1" applyAlignment="1">
      <alignment horizontal="center"/>
    </xf>
    <xf numFmtId="164" fontId="10" fillId="2" borderId="14" xfId="0" applyNumberFormat="1" applyFont="1" applyFill="1" applyBorder="1" applyAlignment="1">
      <alignment horizontal="right"/>
    </xf>
    <xf numFmtId="165" fontId="11" fillId="9" borderId="0" xfId="1" applyNumberFormat="1" applyFont="1" applyFill="1"/>
    <xf numFmtId="164" fontId="10" fillId="2" borderId="18" xfId="0" applyNumberFormat="1" applyFont="1" applyFill="1" applyBorder="1" applyAlignment="1">
      <alignment horizontal="right"/>
    </xf>
    <xf numFmtId="0" fontId="10" fillId="2" borderId="18" xfId="0" applyFont="1" applyFill="1" applyBorder="1"/>
    <xf numFmtId="164" fontId="0" fillId="8" borderId="20" xfId="0" applyNumberFormat="1" applyFill="1" applyBorder="1" applyAlignment="1">
      <alignment horizontal="right"/>
    </xf>
    <xf numFmtId="164" fontId="10" fillId="2" borderId="25" xfId="0" applyNumberFormat="1" applyFont="1" applyFill="1" applyBorder="1"/>
    <xf numFmtId="0" fontId="0" fillId="3" borderId="39" xfId="0" applyFill="1" applyBorder="1"/>
    <xf numFmtId="0" fontId="0" fillId="3" borderId="44" xfId="0" applyFill="1" applyBorder="1"/>
    <xf numFmtId="0" fontId="0" fillId="2" borderId="27" xfId="0" applyFill="1" applyBorder="1"/>
    <xf numFmtId="0" fontId="0" fillId="3" borderId="56" xfId="0" applyFill="1" applyBorder="1"/>
    <xf numFmtId="0" fontId="0" fillId="3" borderId="51" xfId="0" applyFill="1" applyBorder="1"/>
    <xf numFmtId="164" fontId="4" fillId="4" borderId="43" xfId="0" applyNumberFormat="1" applyFont="1" applyFill="1" applyBorder="1"/>
    <xf numFmtId="164" fontId="4" fillId="5" borderId="43" xfId="0" applyNumberFormat="1" applyFont="1" applyFill="1" applyBorder="1"/>
    <xf numFmtId="3" fontId="4" fillId="3" borderId="43" xfId="0" applyNumberFormat="1" applyFont="1" applyFill="1" applyBorder="1"/>
    <xf numFmtId="164" fontId="2" fillId="3" borderId="43" xfId="0" applyNumberFormat="1" applyFont="1" applyFill="1" applyBorder="1"/>
    <xf numFmtId="0" fontId="2" fillId="2" borderId="0" xfId="0" applyFont="1" applyFill="1" applyBorder="1" applyAlignment="1">
      <alignment wrapText="1"/>
    </xf>
    <xf numFmtId="0" fontId="0" fillId="2" borderId="0" xfId="0" applyFill="1" applyAlignment="1">
      <alignment wrapText="1"/>
    </xf>
    <xf numFmtId="3" fontId="4" fillId="11" borderId="43" xfId="0" applyNumberFormat="1" applyFont="1" applyFill="1" applyBorder="1"/>
    <xf numFmtId="164" fontId="2" fillId="11" borderId="43" xfId="0" applyNumberFormat="1" applyFont="1" applyFill="1" applyBorder="1"/>
    <xf numFmtId="165" fontId="0" fillId="2" borderId="0" xfId="0" applyNumberFormat="1" applyFont="1" applyFill="1" applyBorder="1"/>
    <xf numFmtId="164" fontId="4" fillId="15" borderId="43" xfId="0" applyNumberFormat="1" applyFont="1" applyFill="1" applyBorder="1"/>
    <xf numFmtId="3" fontId="4" fillId="15" borderId="41" xfId="0" applyNumberFormat="1" applyFont="1" applyFill="1" applyBorder="1"/>
    <xf numFmtId="0" fontId="2" fillId="9" borderId="0" xfId="0" applyNumberFormat="1" applyFont="1" applyFill="1" applyBorder="1"/>
    <xf numFmtId="164" fontId="4" fillId="7" borderId="39" xfId="0" applyNumberFormat="1" applyFont="1" applyFill="1" applyBorder="1"/>
    <xf numFmtId="164" fontId="0" fillId="7" borderId="47" xfId="0" applyNumberFormat="1" applyFill="1" applyBorder="1" applyAlignment="1">
      <alignment horizontal="right"/>
    </xf>
    <xf numFmtId="164" fontId="0" fillId="7" borderId="55" xfId="0" applyNumberFormat="1" applyFill="1" applyBorder="1" applyAlignment="1">
      <alignment horizontal="right"/>
    </xf>
    <xf numFmtId="0" fontId="0" fillId="7" borderId="48" xfId="0" applyFill="1" applyBorder="1" applyAlignment="1">
      <alignment horizontal="center"/>
    </xf>
    <xf numFmtId="3" fontId="0" fillId="2" borderId="57" xfId="0" applyNumberFormat="1" applyFill="1" applyBorder="1"/>
    <xf numFmtId="3" fontId="0" fillId="2" borderId="58" xfId="0" applyNumberFormat="1" applyFill="1" applyBorder="1"/>
    <xf numFmtId="3" fontId="0" fillId="2" borderId="59" xfId="0" applyNumberFormat="1" applyFill="1" applyBorder="1"/>
    <xf numFmtId="0" fontId="4" fillId="8" borderId="51" xfId="0" applyFont="1" applyFill="1" applyBorder="1"/>
    <xf numFmtId="164" fontId="4" fillId="8" borderId="39" xfId="0" applyNumberFormat="1" applyFont="1" applyFill="1" applyBorder="1"/>
    <xf numFmtId="0" fontId="9" fillId="5" borderId="46" xfId="0" applyFont="1" applyFill="1" applyBorder="1" applyAlignment="1">
      <alignment horizontal="center" vertical="center"/>
    </xf>
    <xf numFmtId="164" fontId="0" fillId="8" borderId="28" xfId="0" applyNumberFormat="1" applyFill="1" applyBorder="1" applyAlignment="1">
      <alignment horizontal="right"/>
    </xf>
    <xf numFmtId="0" fontId="0" fillId="8" borderId="29" xfId="0" applyFill="1" applyBorder="1" applyAlignment="1">
      <alignment horizontal="center"/>
    </xf>
    <xf numFmtId="164" fontId="0" fillId="8" borderId="39" xfId="0" applyNumberFormat="1" applyFill="1" applyBorder="1" applyAlignment="1">
      <alignment horizontal="right"/>
    </xf>
    <xf numFmtId="0" fontId="8" fillId="16" borderId="8" xfId="0" applyFont="1" applyFill="1" applyBorder="1" applyAlignment="1">
      <alignment horizontal="center" vertical="center" wrapText="1"/>
    </xf>
    <xf numFmtId="0" fontId="9" fillId="16" borderId="8" xfId="0" applyFont="1" applyFill="1" applyBorder="1" applyAlignment="1">
      <alignment horizontal="center" vertical="center"/>
    </xf>
    <xf numFmtId="0" fontId="8" fillId="16" borderId="4" xfId="0" applyFont="1" applyFill="1" applyBorder="1" applyAlignment="1">
      <alignment horizontal="center" vertical="center" wrapText="1"/>
    </xf>
    <xf numFmtId="0" fontId="9" fillId="11" borderId="5" xfId="0" applyFont="1" applyFill="1" applyBorder="1" applyAlignment="1">
      <alignment horizontal="center" vertical="center"/>
    </xf>
    <xf numFmtId="0" fontId="0" fillId="9" borderId="11" xfId="0" applyFill="1" applyBorder="1" applyAlignment="1">
      <alignment horizontal="left"/>
    </xf>
    <xf numFmtId="165" fontId="2" fillId="9" borderId="0" xfId="1" applyNumberFormat="1" applyFont="1" applyFill="1" applyBorder="1"/>
    <xf numFmtId="165" fontId="2" fillId="9" borderId="0" xfId="0" applyNumberFormat="1" applyFont="1" applyFill="1" applyBorder="1"/>
    <xf numFmtId="0" fontId="8" fillId="11" borderId="2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/>
    </xf>
    <xf numFmtId="0" fontId="10" fillId="9" borderId="30" xfId="0" applyFont="1" applyFill="1" applyBorder="1"/>
    <xf numFmtId="0" fontId="10" fillId="9" borderId="11" xfId="0" applyFont="1" applyFill="1" applyBorder="1"/>
    <xf numFmtId="0" fontId="0" fillId="0" borderId="47" xfId="0" applyFill="1" applyBorder="1"/>
    <xf numFmtId="0" fontId="0" fillId="0" borderId="10" xfId="0" applyFill="1" applyBorder="1"/>
    <xf numFmtId="0" fontId="0" fillId="0" borderId="24" xfId="0" applyFill="1" applyBorder="1"/>
    <xf numFmtId="0" fontId="0" fillId="0" borderId="19" xfId="0" applyFill="1" applyBorder="1"/>
    <xf numFmtId="0" fontId="0" fillId="0" borderId="37" xfId="0" applyFill="1" applyBorder="1"/>
    <xf numFmtId="0" fontId="0" fillId="0" borderId="29" xfId="0" applyFill="1" applyBorder="1"/>
    <xf numFmtId="0" fontId="0" fillId="17" borderId="12" xfId="0" applyFill="1" applyBorder="1"/>
    <xf numFmtId="0" fontId="0" fillId="17" borderId="28" xfId="0" applyFill="1" applyBorder="1"/>
    <xf numFmtId="0" fontId="0" fillId="17" borderId="49" xfId="0" applyFill="1" applyBorder="1"/>
    <xf numFmtId="3" fontId="0" fillId="17" borderId="11" xfId="0" applyNumberFormat="1" applyFill="1" applyBorder="1"/>
    <xf numFmtId="3" fontId="0" fillId="17" borderId="20" xfId="0" applyNumberFormat="1" applyFill="1" applyBorder="1"/>
    <xf numFmtId="3" fontId="0" fillId="17" borderId="30" xfId="0" applyNumberFormat="1" applyFill="1" applyBorder="1"/>
    <xf numFmtId="3" fontId="0" fillId="17" borderId="12" xfId="0" applyNumberFormat="1" applyFill="1" applyBorder="1"/>
    <xf numFmtId="3" fontId="0" fillId="17" borderId="28" xfId="0" applyNumberFormat="1" applyFill="1" applyBorder="1"/>
    <xf numFmtId="3" fontId="0" fillId="17" borderId="49" xfId="0" applyNumberFormat="1" applyFill="1" applyBorder="1"/>
    <xf numFmtId="3" fontId="0" fillId="0" borderId="10" xfId="0" applyNumberFormat="1" applyFill="1" applyBorder="1"/>
    <xf numFmtId="3" fontId="0" fillId="0" borderId="47" xfId="0" applyNumberFormat="1" applyFill="1" applyBorder="1"/>
    <xf numFmtId="3" fontId="0" fillId="0" borderId="19" xfId="0" applyNumberFormat="1" applyFill="1" applyBorder="1"/>
    <xf numFmtId="3" fontId="0" fillId="0" borderId="24" xfId="0" applyNumberFormat="1" applyFill="1" applyBorder="1"/>
    <xf numFmtId="3" fontId="0" fillId="0" borderId="29" xfId="0" applyNumberFormat="1" applyFill="1" applyBorder="1"/>
    <xf numFmtId="3" fontId="0" fillId="0" borderId="37" xfId="0" applyNumberFormat="1" applyFill="1" applyBorder="1"/>
    <xf numFmtId="0" fontId="0" fillId="10" borderId="27" xfId="0" applyFill="1" applyBorder="1" applyAlignment="1">
      <alignment horizontal="center"/>
    </xf>
    <xf numFmtId="1" fontId="0" fillId="10" borderId="27" xfId="0" applyNumberFormat="1" applyFill="1" applyBorder="1" applyAlignment="1">
      <alignment horizontal="center"/>
    </xf>
    <xf numFmtId="0" fontId="0" fillId="10" borderId="38" xfId="0" applyFill="1" applyBorder="1" applyAlignment="1">
      <alignment horizontal="center"/>
    </xf>
    <xf numFmtId="0" fontId="0" fillId="17" borderId="24" xfId="0" applyFill="1" applyBorder="1"/>
    <xf numFmtId="1" fontId="10" fillId="9" borderId="17" xfId="0" applyNumberFormat="1" applyFont="1" applyFill="1" applyBorder="1" applyAlignment="1">
      <alignment horizontal="center"/>
    </xf>
    <xf numFmtId="164" fontId="10" fillId="9" borderId="14" xfId="0" applyNumberFormat="1" applyFont="1" applyFill="1" applyBorder="1" applyAlignment="1">
      <alignment horizontal="right"/>
    </xf>
    <xf numFmtId="164" fontId="10" fillId="9" borderId="18" xfId="0" applyNumberFormat="1" applyFont="1" applyFill="1" applyBorder="1"/>
    <xf numFmtId="3" fontId="0" fillId="2" borderId="14" xfId="0" applyNumberFormat="1" applyFill="1" applyBorder="1"/>
    <xf numFmtId="16" fontId="12" fillId="13" borderId="8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wrapText="1"/>
    </xf>
    <xf numFmtId="0" fontId="0" fillId="10" borderId="1" xfId="0" applyFill="1" applyBorder="1" applyAlignment="1">
      <alignment horizontal="center" vertical="center" wrapText="1"/>
    </xf>
    <xf numFmtId="0" fontId="0" fillId="10" borderId="45" xfId="0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4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wrapText="1"/>
    </xf>
    <xf numFmtId="0" fontId="4" fillId="0" borderId="9" xfId="0" applyFont="1" applyBorder="1" applyAlignment="1"/>
    <xf numFmtId="0" fontId="2" fillId="2" borderId="0" xfId="0" applyFont="1" applyFill="1" applyBorder="1" applyAlignment="1">
      <alignment wrapText="1"/>
    </xf>
    <xf numFmtId="14" fontId="0" fillId="2" borderId="0" xfId="0" applyNumberFormat="1" applyFill="1" applyAlignment="1">
      <alignment wrapText="1"/>
    </xf>
    <xf numFmtId="0" fontId="0" fillId="2" borderId="0" xfId="0" applyFill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 wrapText="1"/>
    </xf>
    <xf numFmtId="0" fontId="0" fillId="2" borderId="0" xfId="0" applyFill="1" applyAlignment="1">
      <alignment wrapText="1" shrinkToFit="1"/>
    </xf>
    <xf numFmtId="0" fontId="0" fillId="0" borderId="0" xfId="0" applyAlignment="1">
      <alignment wrapText="1" shrinkToFi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E40"/>
  <sheetViews>
    <sheetView tabSelected="1" workbookViewId="0">
      <selection activeCell="P4" sqref="P4"/>
    </sheetView>
  </sheetViews>
  <sheetFormatPr baseColWidth="10" defaultRowHeight="15" x14ac:dyDescent="0.25"/>
  <cols>
    <col min="1" max="1" width="1.7109375" style="1" customWidth="1"/>
    <col min="2" max="2" width="26.85546875" style="1" customWidth="1"/>
    <col min="3" max="3" width="3.28515625" style="2" customWidth="1"/>
    <col min="4" max="6" width="8.7109375" style="2" customWidth="1"/>
    <col min="7" max="27" width="8.7109375" style="1" customWidth="1"/>
    <col min="28" max="28" width="9.28515625" style="1" customWidth="1"/>
    <col min="29" max="29" width="8.7109375" style="1" hidden="1" customWidth="1"/>
    <col min="30" max="30" width="2.7109375" style="1" customWidth="1"/>
    <col min="31" max="16384" width="11.42578125" style="1"/>
  </cols>
  <sheetData>
    <row r="1" spans="1:31" ht="5.25" customHeight="1" x14ac:dyDescent="0.25">
      <c r="D1" s="1"/>
      <c r="E1" s="1"/>
      <c r="F1" s="1"/>
    </row>
    <row r="2" spans="1:31" x14ac:dyDescent="0.25">
      <c r="D2" s="1"/>
      <c r="E2" s="1"/>
      <c r="F2" s="1"/>
    </row>
    <row r="3" spans="1:31" ht="15" customHeight="1" x14ac:dyDescent="0.25">
      <c r="A3" s="5"/>
      <c r="B3" s="7"/>
      <c r="D3" s="1"/>
      <c r="E3" s="1"/>
      <c r="F3" s="1"/>
    </row>
    <row r="4" spans="1:31" ht="18" customHeight="1" x14ac:dyDescent="0.25">
      <c r="B4" s="134"/>
      <c r="D4" s="1"/>
      <c r="E4" s="1"/>
      <c r="F4" s="1"/>
    </row>
    <row r="5" spans="1:31" ht="15.75" thickBot="1" x14ac:dyDescent="0.3">
      <c r="A5" s="8"/>
      <c r="B5" s="8"/>
      <c r="D5" s="1"/>
      <c r="E5" s="1"/>
      <c r="F5" s="1"/>
    </row>
    <row r="6" spans="1:31" ht="27.75" customHeight="1" thickBot="1" x14ac:dyDescent="0.3">
      <c r="B6" s="343" t="s">
        <v>4</v>
      </c>
      <c r="D6" s="345"/>
      <c r="E6" s="346"/>
      <c r="F6" s="346"/>
      <c r="G6" s="346"/>
      <c r="H6" s="346"/>
      <c r="I6" s="346"/>
      <c r="J6" s="346"/>
      <c r="K6" s="346"/>
      <c r="L6" s="346"/>
      <c r="M6" s="346"/>
      <c r="N6" s="346"/>
      <c r="O6" s="346"/>
      <c r="P6" s="346"/>
      <c r="Q6" s="346"/>
      <c r="R6" s="346"/>
      <c r="S6" s="346"/>
      <c r="T6" s="346"/>
      <c r="U6" s="346"/>
      <c r="V6" s="346"/>
      <c r="W6" s="346"/>
      <c r="X6" s="346"/>
      <c r="Y6" s="346"/>
      <c r="Z6" s="346"/>
      <c r="AA6" s="346"/>
      <c r="AB6" s="346"/>
      <c r="AC6" s="346"/>
    </row>
    <row r="7" spans="1:31" ht="25.5" customHeight="1" thickBot="1" x14ac:dyDescent="0.3">
      <c r="B7" s="344"/>
      <c r="D7" s="181">
        <v>44199</v>
      </c>
      <c r="E7" s="181">
        <v>44200</v>
      </c>
      <c r="F7" s="181">
        <v>44201</v>
      </c>
      <c r="G7" s="181">
        <v>44202</v>
      </c>
      <c r="H7" s="181">
        <v>44203</v>
      </c>
      <c r="I7" s="181">
        <v>44204</v>
      </c>
      <c r="J7" s="181">
        <v>44571</v>
      </c>
      <c r="K7" s="181">
        <v>44572</v>
      </c>
      <c r="L7" s="181">
        <v>44573</v>
      </c>
      <c r="M7" s="181">
        <v>44574</v>
      </c>
      <c r="N7" s="181">
        <v>44575</v>
      </c>
      <c r="O7" s="181">
        <v>44576</v>
      </c>
      <c r="P7" s="181">
        <v>44578</v>
      </c>
      <c r="Q7" s="181">
        <v>44579</v>
      </c>
      <c r="R7" s="181">
        <v>44580</v>
      </c>
      <c r="S7" s="181">
        <v>44581</v>
      </c>
      <c r="T7" s="181">
        <v>44582</v>
      </c>
      <c r="U7" s="181">
        <v>44583</v>
      </c>
      <c r="V7" s="181">
        <v>44585</v>
      </c>
      <c r="W7" s="181">
        <v>44586</v>
      </c>
      <c r="X7" s="181">
        <v>44587</v>
      </c>
      <c r="Y7" s="181">
        <v>44588</v>
      </c>
      <c r="Z7" s="181">
        <v>44589</v>
      </c>
      <c r="AA7" s="181">
        <v>44590</v>
      </c>
      <c r="AB7" s="181">
        <v>44592</v>
      </c>
      <c r="AC7" s="258">
        <v>44439</v>
      </c>
      <c r="AD7" s="146"/>
      <c r="AE7" s="136" t="s">
        <v>9</v>
      </c>
    </row>
    <row r="8" spans="1:31" x14ac:dyDescent="0.25">
      <c r="B8" s="23" t="s">
        <v>13</v>
      </c>
      <c r="C8" s="44"/>
      <c r="D8" s="183">
        <f>'03-01'!AE8</f>
        <v>0</v>
      </c>
      <c r="E8" s="184">
        <f>'04-01'!AE8</f>
        <v>0</v>
      </c>
      <c r="F8" s="184">
        <f>'05-01'!AE8</f>
        <v>0</v>
      </c>
      <c r="G8" s="184">
        <f>'06-01'!AE8</f>
        <v>5056</v>
      </c>
      <c r="H8" s="184">
        <f>'07-01'!AE8</f>
        <v>5056</v>
      </c>
      <c r="I8" s="319">
        <f>'08-01'!AE8</f>
        <v>0</v>
      </c>
      <c r="J8" s="314">
        <f>'10-01'!AE8</f>
        <v>0</v>
      </c>
      <c r="K8" s="313">
        <f>'11-01'!AE8</f>
        <v>10428</v>
      </c>
      <c r="L8" s="313">
        <f>'12-01'!AE8</f>
        <v>7268</v>
      </c>
      <c r="M8" s="313">
        <f>'13-01'!AE8</f>
        <v>5056</v>
      </c>
      <c r="N8" s="313">
        <f>'14-01'!AE8</f>
        <v>11895</v>
      </c>
      <c r="O8" s="319">
        <f>'15-01'!AE8</f>
        <v>0</v>
      </c>
      <c r="P8" s="182">
        <f>'17-01'!AE8</f>
        <v>0</v>
      </c>
      <c r="Q8" s="182">
        <f>'18-01'!AE8</f>
        <v>0</v>
      </c>
      <c r="R8" s="182">
        <f>'19-01'!AE8</f>
        <v>0</v>
      </c>
      <c r="S8" s="182">
        <f>'20-01'!AE8</f>
        <v>0</v>
      </c>
      <c r="T8" s="182">
        <f>'21-12'!AE8</f>
        <v>4424</v>
      </c>
      <c r="U8" s="337">
        <f>'22-01'!AE8</f>
        <v>0</v>
      </c>
      <c r="V8" s="182">
        <f>'24-01'!AE8</f>
        <v>0</v>
      </c>
      <c r="W8" s="182">
        <f>'25-01'!AE8</f>
        <v>8216</v>
      </c>
      <c r="X8" s="182">
        <f>'26-01'!AE8</f>
        <v>0</v>
      </c>
      <c r="Y8" s="182">
        <f>'27-01'!AE8</f>
        <v>0</v>
      </c>
      <c r="Z8" s="182">
        <f>'28-01'!AE8</f>
        <v>0</v>
      </c>
      <c r="AA8" s="337">
        <f>'29-01'!AE8</f>
        <v>0</v>
      </c>
      <c r="AB8" s="182">
        <f>'31-01'!AE8</f>
        <v>0</v>
      </c>
      <c r="AC8" s="274">
        <f>'18-01'!AQ8</f>
        <v>0</v>
      </c>
      <c r="AE8" s="45">
        <f t="shared" ref="AE8:AE15" si="0">SUM(D8:AC8)</f>
        <v>57399</v>
      </c>
    </row>
    <row r="9" spans="1:31" x14ac:dyDescent="0.25">
      <c r="B9" s="46" t="s">
        <v>14</v>
      </c>
      <c r="C9" s="44"/>
      <c r="D9" s="185">
        <f>'03-01'!AE9</f>
        <v>0</v>
      </c>
      <c r="E9" s="182">
        <f>'04-01'!AE9</f>
        <v>5372</v>
      </c>
      <c r="F9" s="182">
        <f>'05-01'!AE9</f>
        <v>0</v>
      </c>
      <c r="G9" s="182">
        <f>'06-01'!AE9</f>
        <v>3792</v>
      </c>
      <c r="H9" s="182">
        <f>'07-01'!AE9</f>
        <v>5372</v>
      </c>
      <c r="I9" s="320">
        <f>'08-01'!AE9</f>
        <v>0</v>
      </c>
      <c r="J9" s="316">
        <f>'10-01'!AE9</f>
        <v>0</v>
      </c>
      <c r="K9" s="315">
        <f>'11-01'!AE9</f>
        <v>0</v>
      </c>
      <c r="L9" s="315">
        <f>'12-01'!AE9</f>
        <v>0</v>
      </c>
      <c r="M9" s="315">
        <f>'13-01'!AE9</f>
        <v>0</v>
      </c>
      <c r="N9" s="315">
        <f>'14-01'!AE9</f>
        <v>0</v>
      </c>
      <c r="O9" s="320">
        <f>'15-01'!AE9</f>
        <v>0</v>
      </c>
      <c r="P9" s="182">
        <f>'17-01'!AE9</f>
        <v>0</v>
      </c>
      <c r="Q9" s="182">
        <f>'18-01'!AE9</f>
        <v>8848</v>
      </c>
      <c r="R9" s="182">
        <f>'19-01'!AE9</f>
        <v>0</v>
      </c>
      <c r="S9" s="182">
        <f>'20-01'!AE9</f>
        <v>0</v>
      </c>
      <c r="T9" s="182">
        <f>'21-12'!AE9</f>
        <v>0</v>
      </c>
      <c r="U9" s="337">
        <f>'22-01'!AE9</f>
        <v>5688</v>
      </c>
      <c r="V9" s="182">
        <f>'24-01'!AE9</f>
        <v>3790</v>
      </c>
      <c r="W9" s="182">
        <f>'25-01'!AE9</f>
        <v>5056</v>
      </c>
      <c r="X9" s="182">
        <f>'26-01'!AE9</f>
        <v>0</v>
      </c>
      <c r="Y9" s="182">
        <f>'27-01'!AE9</f>
        <v>3792</v>
      </c>
      <c r="Z9" s="182">
        <f>'28-01'!AE9</f>
        <v>4424</v>
      </c>
      <c r="AA9" s="337">
        <f>'29-01'!AE9</f>
        <v>0</v>
      </c>
      <c r="AB9" s="182">
        <f>'31-01'!AE9</f>
        <v>0</v>
      </c>
      <c r="AC9" s="274">
        <f>'18-01'!AQ9</f>
        <v>0</v>
      </c>
      <c r="AE9" s="64">
        <f t="shared" si="0"/>
        <v>46134</v>
      </c>
    </row>
    <row r="10" spans="1:31" x14ac:dyDescent="0.25">
      <c r="B10" s="46" t="s">
        <v>16</v>
      </c>
      <c r="C10" s="44"/>
      <c r="D10" s="185">
        <f>'03-01'!AE10</f>
        <v>0</v>
      </c>
      <c r="E10" s="182">
        <f>'04-01'!AE10</f>
        <v>0</v>
      </c>
      <c r="F10" s="182">
        <f>'05-01'!AE10</f>
        <v>0</v>
      </c>
      <c r="G10" s="182">
        <f>'06-01'!AE10</f>
        <v>0</v>
      </c>
      <c r="H10" s="182">
        <f>'07-01'!AE10</f>
        <v>8848</v>
      </c>
      <c r="I10" s="320">
        <f>'08-01'!AE10</f>
        <v>0</v>
      </c>
      <c r="J10" s="316">
        <f>'10-01'!AE10</f>
        <v>5056</v>
      </c>
      <c r="K10" s="315">
        <f>'11-01'!AE10</f>
        <v>0</v>
      </c>
      <c r="L10" s="315">
        <f>'12-01'!AE10</f>
        <v>0</v>
      </c>
      <c r="M10" s="315">
        <f>'13-01'!AE10</f>
        <v>0</v>
      </c>
      <c r="N10" s="315">
        <f>'14-01'!AE10</f>
        <v>9480</v>
      </c>
      <c r="O10" s="320">
        <f>'15-01'!AE10</f>
        <v>0</v>
      </c>
      <c r="P10" s="182">
        <f>'17-01'!AE10</f>
        <v>3792</v>
      </c>
      <c r="Q10" s="182">
        <f>'18-01'!AE10</f>
        <v>0</v>
      </c>
      <c r="R10" s="182">
        <f>'19-01'!AE10</f>
        <v>0</v>
      </c>
      <c r="S10" s="182">
        <f>'20-01'!AE10</f>
        <v>0</v>
      </c>
      <c r="T10" s="182">
        <f>'21-12'!AE10</f>
        <v>3160</v>
      </c>
      <c r="U10" s="337">
        <f>'22-01'!AE10</f>
        <v>0</v>
      </c>
      <c r="V10" s="182">
        <f>'24-01'!AE10</f>
        <v>0</v>
      </c>
      <c r="W10" s="182">
        <f>'25-01'!AE10</f>
        <v>0</v>
      </c>
      <c r="X10" s="182">
        <f>'26-01'!AE10</f>
        <v>0</v>
      </c>
      <c r="Y10" s="182">
        <f>'27-01'!AE10</f>
        <v>0</v>
      </c>
      <c r="Z10" s="182">
        <f>'28-01'!AE10</f>
        <v>0</v>
      </c>
      <c r="AA10" s="337">
        <f>'29-01'!AE10</f>
        <v>0</v>
      </c>
      <c r="AB10" s="182">
        <f>'31-01'!AE10</f>
        <v>3792</v>
      </c>
      <c r="AC10" s="274">
        <f>'18-01'!AQ10</f>
        <v>0</v>
      </c>
      <c r="AE10" s="64">
        <f t="shared" si="0"/>
        <v>34128</v>
      </c>
    </row>
    <row r="11" spans="1:31" x14ac:dyDescent="0.25">
      <c r="B11" s="46" t="s">
        <v>17</v>
      </c>
      <c r="C11" s="70"/>
      <c r="D11" s="185">
        <f>'03-01'!AE11</f>
        <v>9480</v>
      </c>
      <c r="E11" s="182">
        <f>'04-01'!AE11</f>
        <v>9164</v>
      </c>
      <c r="F11" s="182">
        <f>'05-01'!AE11</f>
        <v>5688</v>
      </c>
      <c r="G11" s="182">
        <f>'06-01'!AE11</f>
        <v>0</v>
      </c>
      <c r="H11" s="182">
        <f>'07-01'!AE11</f>
        <v>3160</v>
      </c>
      <c r="I11" s="320">
        <f>'08-01'!AE11</f>
        <v>6397</v>
      </c>
      <c r="J11" s="316">
        <f>'10-01'!AE11</f>
        <v>0</v>
      </c>
      <c r="K11" s="315">
        <f>'11-01'!AE11</f>
        <v>5056</v>
      </c>
      <c r="L11" s="315">
        <f>'12-01'!AE11</f>
        <v>5056</v>
      </c>
      <c r="M11" s="315">
        <f>'13-01'!AE11</f>
        <v>0</v>
      </c>
      <c r="N11" s="315">
        <f>'14-01'!AE11</f>
        <v>0</v>
      </c>
      <c r="O11" s="320">
        <f>'15-01'!AE11</f>
        <v>0</v>
      </c>
      <c r="P11" s="182">
        <f>'17-01'!AE11</f>
        <v>8848</v>
      </c>
      <c r="Q11" s="182">
        <f>'18-01'!AE11</f>
        <v>0</v>
      </c>
      <c r="R11" s="182">
        <f>'19-01'!AE11</f>
        <v>19592</v>
      </c>
      <c r="S11" s="182">
        <f>'20-01'!AE11</f>
        <v>7661</v>
      </c>
      <c r="T11" s="182">
        <f>'21-12'!AE11</f>
        <v>12640</v>
      </c>
      <c r="U11" s="337">
        <f>'22-01'!AE11</f>
        <v>5765</v>
      </c>
      <c r="V11" s="182">
        <f>'24-01'!AE11</f>
        <v>10189</v>
      </c>
      <c r="W11" s="182">
        <f>'25-01'!AE11</f>
        <v>0</v>
      </c>
      <c r="X11" s="182">
        <f>'26-01'!AE11</f>
        <v>2605</v>
      </c>
      <c r="Y11" s="182">
        <f>'27-01'!AE11</f>
        <v>4424</v>
      </c>
      <c r="Z11" s="182">
        <f>'28-01'!AE11</f>
        <v>0</v>
      </c>
      <c r="AA11" s="337">
        <f>'29-01'!AE11</f>
        <v>0</v>
      </c>
      <c r="AB11" s="182">
        <f>'31-01'!AE11</f>
        <v>9480</v>
      </c>
      <c r="AC11" s="274">
        <f>'18-01'!AQ11</f>
        <v>0</v>
      </c>
      <c r="AE11" s="64">
        <f t="shared" si="0"/>
        <v>125205</v>
      </c>
    </row>
    <row r="12" spans="1:31" x14ac:dyDescent="0.25">
      <c r="B12" s="46" t="s">
        <v>18</v>
      </c>
      <c r="C12" s="71"/>
      <c r="D12" s="185">
        <f>'03-01'!AE12</f>
        <v>0</v>
      </c>
      <c r="E12" s="182">
        <f>'04-01'!AE12</f>
        <v>4424</v>
      </c>
      <c r="F12" s="182">
        <f>'05-01'!AE12</f>
        <v>3792</v>
      </c>
      <c r="G12" s="182">
        <f>'06-01'!AE12</f>
        <v>6952</v>
      </c>
      <c r="H12" s="182">
        <f>'07-01'!AE12</f>
        <v>0</v>
      </c>
      <c r="I12" s="320">
        <f>'08-01'!AE12</f>
        <v>0</v>
      </c>
      <c r="J12" s="316">
        <f>'10-01'!AE12</f>
        <v>0</v>
      </c>
      <c r="K12" s="315">
        <f>'11-01'!AE12</f>
        <v>3792</v>
      </c>
      <c r="L12" s="315">
        <f>'12-01'!AE12</f>
        <v>4424</v>
      </c>
      <c r="M12" s="315">
        <f>'13-01'!AE12</f>
        <v>0</v>
      </c>
      <c r="N12" s="315">
        <f>'14-01'!AE12</f>
        <v>0</v>
      </c>
      <c r="O12" s="320">
        <f>'15-01'!AE12</f>
        <v>0</v>
      </c>
      <c r="P12" s="182">
        <f>'17-01'!AE12</f>
        <v>4424</v>
      </c>
      <c r="Q12" s="182">
        <f>'18-01'!AE12</f>
        <v>10112</v>
      </c>
      <c r="R12" s="182">
        <f>'19-01'!AE12</f>
        <v>3792</v>
      </c>
      <c r="S12" s="182">
        <f>'20-01'!AE12</f>
        <v>8216</v>
      </c>
      <c r="T12" s="182">
        <f>'21-12'!AE12</f>
        <v>0</v>
      </c>
      <c r="U12" s="337">
        <f>'22-01'!AE12</f>
        <v>0</v>
      </c>
      <c r="V12" s="182">
        <f>'24-01'!AE12</f>
        <v>0</v>
      </c>
      <c r="W12" s="182">
        <f>'25-01'!AE12</f>
        <v>0</v>
      </c>
      <c r="X12" s="182">
        <f>'26-01'!AE12</f>
        <v>0</v>
      </c>
      <c r="Y12" s="182">
        <f>'27-01'!AE12</f>
        <v>0</v>
      </c>
      <c r="Z12" s="182">
        <f>'28-01'!AE12</f>
        <v>0</v>
      </c>
      <c r="AA12" s="337">
        <f>'29-01'!AE12</f>
        <v>0</v>
      </c>
      <c r="AB12" s="182">
        <f>'31-01'!AE12</f>
        <v>0</v>
      </c>
      <c r="AC12" s="274">
        <f>'18-01'!AQ12</f>
        <v>0</v>
      </c>
      <c r="AE12" s="64">
        <f t="shared" si="0"/>
        <v>49928</v>
      </c>
    </row>
    <row r="13" spans="1:31" x14ac:dyDescent="0.25">
      <c r="B13" s="46" t="s">
        <v>19</v>
      </c>
      <c r="C13" s="70"/>
      <c r="D13" s="185">
        <f>'03-01'!AE13</f>
        <v>5056</v>
      </c>
      <c r="E13" s="182">
        <f>'04-01'!AE13</f>
        <v>0</v>
      </c>
      <c r="F13" s="182">
        <f>'05-01'!AE13</f>
        <v>0</v>
      </c>
      <c r="G13" s="182">
        <f>'06-01'!AE13</f>
        <v>0</v>
      </c>
      <c r="H13" s="182">
        <f>'07-01'!AE13</f>
        <v>0</v>
      </c>
      <c r="I13" s="320">
        <f>'08-01'!AE13</f>
        <v>0</v>
      </c>
      <c r="J13" s="316">
        <f>'10-01'!AE13</f>
        <v>0</v>
      </c>
      <c r="K13" s="315">
        <f>'11-01'!AE13</f>
        <v>0</v>
      </c>
      <c r="L13" s="315">
        <f>'12-01'!AE13</f>
        <v>0</v>
      </c>
      <c r="M13" s="315">
        <f>'13-01'!AE13</f>
        <v>0</v>
      </c>
      <c r="N13" s="315">
        <f>'14-01'!AE13</f>
        <v>0</v>
      </c>
      <c r="O13" s="320">
        <f>'15-01'!AE13</f>
        <v>0</v>
      </c>
      <c r="P13" s="182">
        <f>'17-01'!AE13</f>
        <v>0</v>
      </c>
      <c r="Q13" s="182">
        <f>'18-01'!AE13</f>
        <v>4424</v>
      </c>
      <c r="R13" s="182">
        <f>'19-01'!AE13</f>
        <v>0</v>
      </c>
      <c r="S13" s="182">
        <f>'20-01'!AE13</f>
        <v>0</v>
      </c>
      <c r="T13" s="182">
        <f>'21-12'!AE13</f>
        <v>0</v>
      </c>
      <c r="U13" s="337">
        <f>'22-01'!AE13</f>
        <v>0</v>
      </c>
      <c r="V13" s="182">
        <f>'24-01'!AE13</f>
        <v>3160</v>
      </c>
      <c r="W13" s="182">
        <f>'25-01'!AE13</f>
        <v>0</v>
      </c>
      <c r="X13" s="182">
        <f>'26-01'!AE13</f>
        <v>0</v>
      </c>
      <c r="Y13" s="182">
        <f>'27-01'!AE13</f>
        <v>0</v>
      </c>
      <c r="Z13" s="182">
        <f>'28-01'!AE13</f>
        <v>0</v>
      </c>
      <c r="AA13" s="337">
        <f>'29-01'!AE13</f>
        <v>0</v>
      </c>
      <c r="AB13" s="182">
        <f>'31-01'!AE13</f>
        <v>0</v>
      </c>
      <c r="AC13" s="274">
        <f>'18-01'!AQ13</f>
        <v>0</v>
      </c>
      <c r="AE13" s="64">
        <f t="shared" si="0"/>
        <v>12640</v>
      </c>
    </row>
    <row r="14" spans="1:31" x14ac:dyDescent="0.25">
      <c r="B14" s="46" t="s">
        <v>20</v>
      </c>
      <c r="C14" s="70"/>
      <c r="D14" s="185">
        <f>'03-01'!AE14</f>
        <v>0</v>
      </c>
      <c r="E14" s="182">
        <f>'04-01'!AE14</f>
        <v>0</v>
      </c>
      <c r="F14" s="182">
        <f>'05-01'!AE14</f>
        <v>0</v>
      </c>
      <c r="G14" s="182">
        <f>'06-01'!AE14</f>
        <v>0</v>
      </c>
      <c r="H14" s="182">
        <f>'07-01'!AE14</f>
        <v>0</v>
      </c>
      <c r="I14" s="320">
        <f>'08-01'!AE14</f>
        <v>0</v>
      </c>
      <c r="J14" s="316">
        <f>'10-01'!AE14</f>
        <v>0</v>
      </c>
      <c r="K14" s="315">
        <f>'11-01'!AE14</f>
        <v>0</v>
      </c>
      <c r="L14" s="315">
        <f>'12-01'!AE14</f>
        <v>0</v>
      </c>
      <c r="M14" s="315">
        <f>'13-01'!AE14</f>
        <v>0</v>
      </c>
      <c r="N14" s="315">
        <f>'14-01'!AE14</f>
        <v>0</v>
      </c>
      <c r="O14" s="320">
        <f>'15-01'!AE14</f>
        <v>0</v>
      </c>
      <c r="P14" s="182">
        <f>'17-01'!AE14</f>
        <v>0</v>
      </c>
      <c r="Q14" s="182">
        <f>'18-01'!AE14</f>
        <v>0</v>
      </c>
      <c r="R14" s="182">
        <f>'19-01'!AE14</f>
        <v>0</v>
      </c>
      <c r="S14" s="182">
        <f>'20-01'!AE14</f>
        <v>0</v>
      </c>
      <c r="T14" s="182">
        <f>'21-12'!AE14</f>
        <v>0</v>
      </c>
      <c r="U14" s="337">
        <f>'22-01'!AE14</f>
        <v>0</v>
      </c>
      <c r="V14" s="182">
        <f>'24-01'!AE14</f>
        <v>0</v>
      </c>
      <c r="W14" s="182">
        <f>'25-01'!AE14</f>
        <v>0</v>
      </c>
      <c r="X14" s="182">
        <f>'26-01'!AE14</f>
        <v>3476</v>
      </c>
      <c r="Y14" s="182">
        <f>'27-01'!AE14</f>
        <v>0</v>
      </c>
      <c r="Z14" s="182">
        <f>'28-01'!AE14</f>
        <v>0</v>
      </c>
      <c r="AA14" s="337">
        <f>'29-01'!AE14</f>
        <v>0</v>
      </c>
      <c r="AB14" s="182">
        <f>'31-01'!AE14</f>
        <v>15168</v>
      </c>
      <c r="AC14" s="274">
        <f>'18-01'!AQ14</f>
        <v>0</v>
      </c>
      <c r="AE14" s="64">
        <f t="shared" si="0"/>
        <v>18644</v>
      </c>
    </row>
    <row r="15" spans="1:31" x14ac:dyDescent="0.25">
      <c r="B15" s="46" t="s">
        <v>21</v>
      </c>
      <c r="C15" s="70"/>
      <c r="D15" s="185">
        <f>'03-01'!AE15</f>
        <v>0</v>
      </c>
      <c r="E15" s="182">
        <f>'04-01'!AE15</f>
        <v>0</v>
      </c>
      <c r="F15" s="182">
        <f>'05-01'!AE15</f>
        <v>0</v>
      </c>
      <c r="G15" s="182">
        <f>'06-01'!AE15</f>
        <v>0</v>
      </c>
      <c r="H15" s="182">
        <f>'07-01'!AE15</f>
        <v>0</v>
      </c>
      <c r="I15" s="320">
        <f>'08-01'!AE15</f>
        <v>0</v>
      </c>
      <c r="J15" s="316">
        <f>'10-01'!AE15</f>
        <v>0</v>
      </c>
      <c r="K15" s="315">
        <f>'11-01'!AE15</f>
        <v>0</v>
      </c>
      <c r="L15" s="315">
        <f>'12-01'!AE15</f>
        <v>0</v>
      </c>
      <c r="M15" s="315">
        <f>'13-01'!AE15</f>
        <v>0</v>
      </c>
      <c r="N15" s="315">
        <f>'14-01'!AE15</f>
        <v>0</v>
      </c>
      <c r="O15" s="320">
        <f>'15-01'!AE15</f>
        <v>0</v>
      </c>
      <c r="P15" s="182">
        <f>'17-01'!AE15</f>
        <v>0</v>
      </c>
      <c r="Q15" s="182">
        <f>'18-01'!AE15</f>
        <v>0</v>
      </c>
      <c r="R15" s="182">
        <f>'19-01'!AE15</f>
        <v>0</v>
      </c>
      <c r="S15" s="182">
        <f>'20-01'!AE15</f>
        <v>5056</v>
      </c>
      <c r="T15" s="182">
        <f>'21-12'!AE15</f>
        <v>0</v>
      </c>
      <c r="U15" s="337">
        <f>'22-01'!AE15</f>
        <v>0</v>
      </c>
      <c r="V15" s="182">
        <f>'24-01'!AE15</f>
        <v>0</v>
      </c>
      <c r="W15" s="182">
        <f>'25-01'!AE15</f>
        <v>0</v>
      </c>
      <c r="X15" s="182">
        <f>'26-01'!AE15</f>
        <v>0</v>
      </c>
      <c r="Y15" s="182">
        <f>'27-01'!AE15</f>
        <v>0</v>
      </c>
      <c r="Z15" s="182">
        <f>'28-01'!AE15</f>
        <v>0</v>
      </c>
      <c r="AA15" s="337">
        <f>'29-01'!AE15</f>
        <v>0</v>
      </c>
      <c r="AB15" s="182">
        <f>'31-01'!AE15</f>
        <v>0</v>
      </c>
      <c r="AC15" s="274">
        <f>'18-01'!AQ15</f>
        <v>0</v>
      </c>
      <c r="AE15" s="64">
        <f t="shared" si="0"/>
        <v>5056</v>
      </c>
    </row>
    <row r="16" spans="1:31" x14ac:dyDescent="0.25">
      <c r="B16" s="46" t="s">
        <v>33</v>
      </c>
      <c r="C16" s="70"/>
      <c r="D16" s="185">
        <f>'03-01'!AE16</f>
        <v>0</v>
      </c>
      <c r="E16" s="182">
        <f>'04-01'!AE16</f>
        <v>0</v>
      </c>
      <c r="F16" s="182">
        <f>'05-01'!AE16</f>
        <v>0</v>
      </c>
      <c r="G16" s="182">
        <f>'06-01'!AE16</f>
        <v>0</v>
      </c>
      <c r="H16" s="182">
        <f>'07-01'!AE16</f>
        <v>0</v>
      </c>
      <c r="I16" s="320">
        <f>'08-01'!AE16</f>
        <v>0</v>
      </c>
      <c r="J16" s="316">
        <f>'10-01'!AE16</f>
        <v>0</v>
      </c>
      <c r="K16" s="315">
        <f>'11-01'!AE16</f>
        <v>0</v>
      </c>
      <c r="L16" s="315">
        <f>'12-01'!AE16</f>
        <v>0</v>
      </c>
      <c r="M16" s="315">
        <f>'13-01'!AE16</f>
        <v>0</v>
      </c>
      <c r="N16" s="315">
        <f>'14-01'!AE16</f>
        <v>0</v>
      </c>
      <c r="O16" s="320">
        <f>'15-01'!AE16</f>
        <v>0</v>
      </c>
      <c r="P16" s="182">
        <f>'17-01'!AE16</f>
        <v>0</v>
      </c>
      <c r="Q16" s="182">
        <f>'18-01'!AE16</f>
        <v>0</v>
      </c>
      <c r="R16" s="182">
        <f>'19-01'!AE16</f>
        <v>0</v>
      </c>
      <c r="S16" s="182">
        <f>'20-01'!AE16</f>
        <v>0</v>
      </c>
      <c r="T16" s="182">
        <f>'21-12'!AE16</f>
        <v>0</v>
      </c>
      <c r="U16" s="337">
        <f>'22-01'!AE16</f>
        <v>0</v>
      </c>
      <c r="V16" s="182">
        <f>'24-01'!AE16</f>
        <v>0</v>
      </c>
      <c r="W16" s="182">
        <f>'25-01'!AE16</f>
        <v>0</v>
      </c>
      <c r="X16" s="182">
        <f>'26-01'!AE16</f>
        <v>0</v>
      </c>
      <c r="Y16" s="182">
        <f>'27-01'!AE16</f>
        <v>0</v>
      </c>
      <c r="Z16" s="182">
        <f>'28-01'!AE16</f>
        <v>0</v>
      </c>
      <c r="AA16" s="337">
        <f>'29-01'!AE16</f>
        <v>0</v>
      </c>
      <c r="AB16" s="182">
        <f>'31-01'!AE16</f>
        <v>0</v>
      </c>
      <c r="AC16" s="274">
        <f>'18-01'!AQ16</f>
        <v>0</v>
      </c>
      <c r="AE16" s="64"/>
    </row>
    <row r="17" spans="2:31" x14ac:dyDescent="0.25">
      <c r="B17" s="46" t="s">
        <v>23</v>
      </c>
      <c r="C17" s="70"/>
      <c r="D17" s="185">
        <f>'03-01'!AE17</f>
        <v>0</v>
      </c>
      <c r="E17" s="182">
        <f>'04-01'!AE17</f>
        <v>0</v>
      </c>
      <c r="F17" s="182">
        <f>'05-01'!AE17</f>
        <v>0</v>
      </c>
      <c r="G17" s="182">
        <f>'06-01'!AE17</f>
        <v>0</v>
      </c>
      <c r="H17" s="182">
        <f>'07-01'!AE17</f>
        <v>0</v>
      </c>
      <c r="I17" s="320">
        <f>'08-01'!AE17</f>
        <v>0</v>
      </c>
      <c r="J17" s="316">
        <f>'10-01'!AE17</f>
        <v>0</v>
      </c>
      <c r="K17" s="315">
        <f>'11-01'!AE17</f>
        <v>7847</v>
      </c>
      <c r="L17" s="315">
        <f>'12-01'!AE17</f>
        <v>0</v>
      </c>
      <c r="M17" s="315">
        <f>'13-01'!AE17</f>
        <v>0</v>
      </c>
      <c r="N17" s="315">
        <f>'14-01'!AE17</f>
        <v>0</v>
      </c>
      <c r="O17" s="320">
        <f>'15-01'!AE17</f>
        <v>0</v>
      </c>
      <c r="P17" s="182">
        <f>'17-01'!AE17</f>
        <v>0</v>
      </c>
      <c r="Q17" s="182">
        <f>'18-01'!AE17</f>
        <v>0</v>
      </c>
      <c r="R17" s="182">
        <f>'19-01'!AE17</f>
        <v>0</v>
      </c>
      <c r="S17" s="182">
        <f>'20-01'!AE17</f>
        <v>0</v>
      </c>
      <c r="T17" s="182">
        <f>'21-12'!AE17</f>
        <v>0</v>
      </c>
      <c r="U17" s="337">
        <f>'22-01'!AE17</f>
        <v>0</v>
      </c>
      <c r="V17" s="182">
        <f>'24-01'!AE17</f>
        <v>0</v>
      </c>
      <c r="W17" s="182">
        <f>'25-01'!AE17</f>
        <v>0</v>
      </c>
      <c r="X17" s="182">
        <f>'26-01'!AE17</f>
        <v>0</v>
      </c>
      <c r="Y17" s="182">
        <f>'27-01'!AE17</f>
        <v>0</v>
      </c>
      <c r="Z17" s="182">
        <f>'28-01'!AE17</f>
        <v>0</v>
      </c>
      <c r="AA17" s="337">
        <f>'29-01'!AE17</f>
        <v>0</v>
      </c>
      <c r="AB17" s="182">
        <f>'31-01'!AE17</f>
        <v>0</v>
      </c>
      <c r="AC17" s="274">
        <f>'18-01'!AQ17</f>
        <v>0</v>
      </c>
      <c r="AE17" s="64">
        <f t="shared" ref="AE17:AE22" si="1">SUM(D17:AC17)</f>
        <v>7847</v>
      </c>
    </row>
    <row r="18" spans="2:31" x14ac:dyDescent="0.25">
      <c r="B18" s="46" t="s">
        <v>24</v>
      </c>
      <c r="C18" s="70"/>
      <c r="D18" s="185">
        <f>'03-01'!AE18</f>
        <v>0</v>
      </c>
      <c r="E18" s="182">
        <f>'04-01'!AE18</f>
        <v>0</v>
      </c>
      <c r="F18" s="182">
        <f>'05-01'!AE18</f>
        <v>0</v>
      </c>
      <c r="G18" s="182">
        <f>'06-01'!AE18</f>
        <v>0</v>
      </c>
      <c r="H18" s="182">
        <f>'07-01'!AE18</f>
        <v>0</v>
      </c>
      <c r="I18" s="320">
        <f>'08-01'!AE18</f>
        <v>0</v>
      </c>
      <c r="J18" s="316">
        <f>'10-01'!AE18</f>
        <v>0</v>
      </c>
      <c r="K18" s="315">
        <f>'11-01'!AE18</f>
        <v>0</v>
      </c>
      <c r="L18" s="315">
        <f>'12-01'!AE18</f>
        <v>0</v>
      </c>
      <c r="M18" s="315">
        <f>'13-01'!AE18</f>
        <v>0</v>
      </c>
      <c r="N18" s="315">
        <f>'14-01'!AE18</f>
        <v>0</v>
      </c>
      <c r="O18" s="320">
        <f>'15-01'!AE18</f>
        <v>0</v>
      </c>
      <c r="P18" s="182">
        <f>'17-01'!AE18</f>
        <v>0</v>
      </c>
      <c r="Q18" s="182">
        <f>'18-01'!AE18</f>
        <v>0</v>
      </c>
      <c r="R18" s="182">
        <f>'19-01'!AE18</f>
        <v>0</v>
      </c>
      <c r="S18" s="182">
        <f>'20-01'!AE18</f>
        <v>0</v>
      </c>
      <c r="T18" s="182">
        <f>'21-12'!AE18</f>
        <v>0</v>
      </c>
      <c r="U18" s="337">
        <f>'22-01'!AE18</f>
        <v>0</v>
      </c>
      <c r="V18" s="182">
        <f>'24-01'!AE18</f>
        <v>0</v>
      </c>
      <c r="W18" s="182">
        <f>'25-01'!AE18</f>
        <v>0</v>
      </c>
      <c r="X18" s="182">
        <f>'26-01'!AE18</f>
        <v>0</v>
      </c>
      <c r="Y18" s="182">
        <f>'27-01'!AE18</f>
        <v>0</v>
      </c>
      <c r="Z18" s="182">
        <f>'28-01'!AE18</f>
        <v>0</v>
      </c>
      <c r="AA18" s="337">
        <f>'29-01'!AE18</f>
        <v>0</v>
      </c>
      <c r="AB18" s="182">
        <f>'31-01'!AE18</f>
        <v>0</v>
      </c>
      <c r="AC18" s="274">
        <f>'18-01'!AQ18</f>
        <v>0</v>
      </c>
      <c r="AE18" s="64">
        <f t="shared" si="1"/>
        <v>0</v>
      </c>
    </row>
    <row r="19" spans="2:31" x14ac:dyDescent="0.25">
      <c r="B19" s="46" t="s">
        <v>0</v>
      </c>
      <c r="C19" s="70"/>
      <c r="D19" s="185">
        <f>'03-01'!AE19</f>
        <v>0</v>
      </c>
      <c r="E19" s="182">
        <f>'04-01'!AE19</f>
        <v>3623</v>
      </c>
      <c r="F19" s="182">
        <f>'05-01'!AE19</f>
        <v>0</v>
      </c>
      <c r="G19" s="182">
        <f>'06-01'!AE19</f>
        <v>0</v>
      </c>
      <c r="H19" s="182">
        <f>'07-01'!AE19</f>
        <v>0</v>
      </c>
      <c r="I19" s="320">
        <f>'08-01'!AE19</f>
        <v>0</v>
      </c>
      <c r="J19" s="316">
        <f>'10-01'!AE19</f>
        <v>0</v>
      </c>
      <c r="K19" s="315">
        <f>'11-01'!AE19</f>
        <v>0</v>
      </c>
      <c r="L19" s="315">
        <f>'12-01'!AE19</f>
        <v>0</v>
      </c>
      <c r="M19" s="315">
        <f>'13-01'!AE19</f>
        <v>0</v>
      </c>
      <c r="N19" s="315">
        <f>'14-01'!AE19</f>
        <v>0</v>
      </c>
      <c r="O19" s="320">
        <f>'15-01'!AE19</f>
        <v>0</v>
      </c>
      <c r="P19" s="182">
        <f>'17-01'!AE19</f>
        <v>0</v>
      </c>
      <c r="Q19" s="182">
        <f>'18-01'!AE19</f>
        <v>0</v>
      </c>
      <c r="R19" s="182">
        <f>'19-01'!AE19</f>
        <v>0</v>
      </c>
      <c r="S19" s="182">
        <f>'20-01'!AE19</f>
        <v>0</v>
      </c>
      <c r="T19" s="182">
        <f>'21-12'!AE19</f>
        <v>0</v>
      </c>
      <c r="U19" s="337">
        <f>'22-01'!AE19</f>
        <v>0</v>
      </c>
      <c r="V19" s="182">
        <f>'24-01'!AE19</f>
        <v>0</v>
      </c>
      <c r="W19" s="182">
        <f>'25-01'!AE19</f>
        <v>0</v>
      </c>
      <c r="X19" s="182">
        <f>'26-01'!AE19</f>
        <v>0</v>
      </c>
      <c r="Y19" s="182">
        <f>'27-01'!AE19</f>
        <v>0</v>
      </c>
      <c r="Z19" s="182">
        <f>'28-01'!AE19</f>
        <v>0</v>
      </c>
      <c r="AA19" s="337">
        <f>'29-01'!AE19</f>
        <v>0</v>
      </c>
      <c r="AB19" s="182">
        <f>'31-01'!AE19</f>
        <v>0</v>
      </c>
      <c r="AC19" s="274">
        <f>'18-01'!AQ19</f>
        <v>0</v>
      </c>
      <c r="AE19" s="64">
        <f t="shared" si="1"/>
        <v>3623</v>
      </c>
    </row>
    <row r="20" spans="2:31" x14ac:dyDescent="0.25">
      <c r="B20" s="46" t="s">
        <v>0</v>
      </c>
      <c r="C20" s="70"/>
      <c r="D20" s="185">
        <f>'03-01'!AE20</f>
        <v>0</v>
      </c>
      <c r="E20" s="182">
        <f>'04-01'!AE20</f>
        <v>0</v>
      </c>
      <c r="F20" s="182">
        <f>'05-01'!AE20</f>
        <v>0</v>
      </c>
      <c r="G20" s="182">
        <f>'06-01'!AE20</f>
        <v>0</v>
      </c>
      <c r="H20" s="182">
        <f>'07-01'!AE20</f>
        <v>0</v>
      </c>
      <c r="I20" s="320">
        <f>'08-01'!AE20</f>
        <v>0</v>
      </c>
      <c r="J20" s="316">
        <f>'10-01'!AE20</f>
        <v>0</v>
      </c>
      <c r="K20" s="315">
        <f>'11-01'!AE20</f>
        <v>0</v>
      </c>
      <c r="L20" s="315">
        <f>'12-01'!AE20</f>
        <v>0</v>
      </c>
      <c r="M20" s="315">
        <f>'13-01'!AE20</f>
        <v>0</v>
      </c>
      <c r="N20" s="315">
        <f>'14-01'!AE20</f>
        <v>0</v>
      </c>
      <c r="O20" s="320">
        <f>'15-01'!AE20</f>
        <v>0</v>
      </c>
      <c r="P20" s="182">
        <f>'17-01'!AE20</f>
        <v>0</v>
      </c>
      <c r="Q20" s="182">
        <f>'18-01'!AE20</f>
        <v>0</v>
      </c>
      <c r="R20" s="182">
        <f>'19-01'!AE20</f>
        <v>0</v>
      </c>
      <c r="S20" s="182">
        <f>'20-01'!AE20</f>
        <v>0</v>
      </c>
      <c r="T20" s="182">
        <f>'21-12'!AE20</f>
        <v>0</v>
      </c>
      <c r="U20" s="337">
        <f>'22-01'!AE20</f>
        <v>0</v>
      </c>
      <c r="V20" s="182">
        <f>'24-01'!AE20</f>
        <v>0</v>
      </c>
      <c r="W20" s="182">
        <f>'25-01'!AE20</f>
        <v>0</v>
      </c>
      <c r="X20" s="182">
        <f>'26-01'!AE20</f>
        <v>0</v>
      </c>
      <c r="Y20" s="182">
        <f>'27-01'!AE20</f>
        <v>0</v>
      </c>
      <c r="Z20" s="182">
        <f>'28-01'!AE20</f>
        <v>0</v>
      </c>
      <c r="AA20" s="337">
        <f>'29-01'!AE20</f>
        <v>0</v>
      </c>
      <c r="AB20" s="182">
        <f>'31-01'!AE20</f>
        <v>0</v>
      </c>
      <c r="AC20" s="274">
        <f>'18-01'!AQ20</f>
        <v>0</v>
      </c>
      <c r="AE20" s="64">
        <f t="shared" si="1"/>
        <v>0</v>
      </c>
    </row>
    <row r="21" spans="2:31" x14ac:dyDescent="0.25">
      <c r="B21" s="46" t="s">
        <v>28</v>
      </c>
      <c r="C21" s="70"/>
      <c r="D21" s="185">
        <f>'03-01'!AE21</f>
        <v>8736</v>
      </c>
      <c r="E21" s="182">
        <f>'04-01'!AE21</f>
        <v>34126</v>
      </c>
      <c r="F21" s="182">
        <f>'05-01'!AE21</f>
        <v>0</v>
      </c>
      <c r="G21" s="182">
        <f>'06-01'!AE21</f>
        <v>19760</v>
      </c>
      <c r="H21" s="182">
        <f>'07-01'!AE21</f>
        <v>0</v>
      </c>
      <c r="I21" s="320">
        <f>'08-01'!AE21</f>
        <v>0</v>
      </c>
      <c r="J21" s="316">
        <f>'10-01'!AE21</f>
        <v>0</v>
      </c>
      <c r="K21" s="315">
        <f>'11-01'!AE21</f>
        <v>34359</v>
      </c>
      <c r="L21" s="315">
        <f>'12-01'!AE21</f>
        <v>0</v>
      </c>
      <c r="M21" s="315">
        <f>'13-01'!AE21</f>
        <v>12012</v>
      </c>
      <c r="N21" s="315">
        <f>'14-01'!AE21</f>
        <v>9163</v>
      </c>
      <c r="O21" s="320">
        <f>'15-01'!AE21</f>
        <v>0</v>
      </c>
      <c r="P21" s="182">
        <f>'17-01'!AE21</f>
        <v>0</v>
      </c>
      <c r="Q21" s="182">
        <f>'18-01'!AE21</f>
        <v>22000</v>
      </c>
      <c r="R21" s="182">
        <f>'19-01'!AE21</f>
        <v>17160</v>
      </c>
      <c r="S21" s="182">
        <f>'20-01'!AE21</f>
        <v>7343</v>
      </c>
      <c r="T21" s="182">
        <f>'21-12'!AE21</f>
        <v>16687</v>
      </c>
      <c r="U21" s="337">
        <f>'22-01'!AE21</f>
        <v>0</v>
      </c>
      <c r="V21" s="182">
        <f>'24-01'!AE21</f>
        <v>19250</v>
      </c>
      <c r="W21" s="182">
        <f>'25-01'!AE21</f>
        <v>0</v>
      </c>
      <c r="X21" s="182">
        <f>'26-01'!AE21</f>
        <v>0</v>
      </c>
      <c r="Y21" s="182">
        <f>'27-01'!AE21</f>
        <v>0</v>
      </c>
      <c r="Z21" s="182">
        <f>'28-01'!AE21</f>
        <v>0</v>
      </c>
      <c r="AA21" s="337">
        <f>'29-01'!AE21</f>
        <v>0</v>
      </c>
      <c r="AB21" s="182">
        <f>'31-01'!AE21</f>
        <v>0</v>
      </c>
      <c r="AC21" s="274">
        <f>'18-01'!AQ21</f>
        <v>0</v>
      </c>
      <c r="AE21" s="64">
        <f t="shared" si="1"/>
        <v>200596</v>
      </c>
    </row>
    <row r="22" spans="2:31" ht="15.75" thickBot="1" x14ac:dyDescent="0.3">
      <c r="B22" s="76" t="s">
        <v>29</v>
      </c>
      <c r="C22" s="70"/>
      <c r="D22" s="259">
        <f>'03-01'!AE22</f>
        <v>0</v>
      </c>
      <c r="E22" s="260">
        <f>'04-01'!AE22</f>
        <v>0</v>
      </c>
      <c r="F22" s="260">
        <f>'05-01'!AE22</f>
        <v>0</v>
      </c>
      <c r="G22" s="260">
        <f>'06-01'!AE22</f>
        <v>0</v>
      </c>
      <c r="H22" s="260">
        <f>'07-01'!AE22</f>
        <v>0</v>
      </c>
      <c r="I22" s="321">
        <f>'08-01'!AE22</f>
        <v>0</v>
      </c>
      <c r="J22" s="318">
        <f>'10-01'!AE22</f>
        <v>0</v>
      </c>
      <c r="K22" s="317">
        <f>'11-01'!AE22</f>
        <v>9975</v>
      </c>
      <c r="L22" s="317">
        <f>'12-01'!AE22</f>
        <v>8457</v>
      </c>
      <c r="M22" s="317">
        <f>'13-01'!AE22</f>
        <v>0</v>
      </c>
      <c r="N22" s="317">
        <f>'14-01'!AE22</f>
        <v>0</v>
      </c>
      <c r="O22" s="321">
        <f>'15-01'!AE22</f>
        <v>0</v>
      </c>
      <c r="P22" s="182">
        <f>'17-01'!AE22</f>
        <v>15421</v>
      </c>
      <c r="Q22" s="182">
        <f>'18-01'!AE22</f>
        <v>0</v>
      </c>
      <c r="R22" s="182">
        <f>'19-01'!AE22</f>
        <v>0</v>
      </c>
      <c r="S22" s="182">
        <f>'20-01'!AE22</f>
        <v>0</v>
      </c>
      <c r="T22" s="182">
        <f>'21-12'!AE22</f>
        <v>14755</v>
      </c>
      <c r="U22" s="337">
        <f>'22-01'!AE22</f>
        <v>0</v>
      </c>
      <c r="V22" s="182">
        <f>'24-01'!AE22</f>
        <v>3856</v>
      </c>
      <c r="W22" s="182">
        <f>'25-01'!AE22</f>
        <v>0</v>
      </c>
      <c r="X22" s="182">
        <f>'26-01'!AE22</f>
        <v>0</v>
      </c>
      <c r="Y22" s="182">
        <f>'27-01'!AE22</f>
        <v>0</v>
      </c>
      <c r="Z22" s="182">
        <f>'28-01'!AE22</f>
        <v>0</v>
      </c>
      <c r="AA22" s="337">
        <f>'29-01'!AE22</f>
        <v>0</v>
      </c>
      <c r="AB22" s="182">
        <f>'31-01'!AE22</f>
        <v>0</v>
      </c>
      <c r="AC22" s="274">
        <f>'18-01'!AQ22</f>
        <v>0</v>
      </c>
      <c r="AE22" s="94">
        <f t="shared" si="1"/>
        <v>52464</v>
      </c>
    </row>
    <row r="23" spans="2:31" ht="15.75" thickBot="1" x14ac:dyDescent="0.3">
      <c r="C23" s="70"/>
      <c r="D23" s="276">
        <f>SUM(D8:D22)</f>
        <v>23272</v>
      </c>
      <c r="E23" s="261">
        <f>SUM(E8:E22)</f>
        <v>56709</v>
      </c>
      <c r="F23" s="261">
        <f t="shared" ref="F23:AC23" si="2">SUM(F8:F22)</f>
        <v>9480</v>
      </c>
      <c r="G23" s="261">
        <f t="shared" si="2"/>
        <v>35560</v>
      </c>
      <c r="H23" s="261">
        <f t="shared" si="2"/>
        <v>22436</v>
      </c>
      <c r="I23" s="261">
        <f t="shared" si="2"/>
        <v>6397</v>
      </c>
      <c r="J23" s="261">
        <f t="shared" si="2"/>
        <v>5056</v>
      </c>
      <c r="K23" s="261">
        <f t="shared" si="2"/>
        <v>71457</v>
      </c>
      <c r="L23" s="261">
        <f t="shared" si="2"/>
        <v>25205</v>
      </c>
      <c r="M23" s="261">
        <f t="shared" si="2"/>
        <v>17068</v>
      </c>
      <c r="N23" s="261">
        <f t="shared" si="2"/>
        <v>30538</v>
      </c>
      <c r="O23" s="261">
        <f t="shared" si="2"/>
        <v>0</v>
      </c>
      <c r="P23" s="261">
        <f t="shared" si="2"/>
        <v>32485</v>
      </c>
      <c r="Q23" s="273">
        <f t="shared" si="2"/>
        <v>45384</v>
      </c>
      <c r="R23" s="276">
        <f t="shared" si="2"/>
        <v>40544</v>
      </c>
      <c r="S23" s="261">
        <f t="shared" si="2"/>
        <v>28276</v>
      </c>
      <c r="T23" s="261">
        <f t="shared" si="2"/>
        <v>51666</v>
      </c>
      <c r="U23" s="261">
        <f t="shared" si="2"/>
        <v>11453</v>
      </c>
      <c r="V23" s="261">
        <f t="shared" si="2"/>
        <v>40245</v>
      </c>
      <c r="W23" s="272">
        <f t="shared" si="2"/>
        <v>13272</v>
      </c>
      <c r="X23" s="275">
        <f t="shared" si="2"/>
        <v>6081</v>
      </c>
      <c r="Y23" s="261">
        <f t="shared" si="2"/>
        <v>8216</v>
      </c>
      <c r="Z23" s="261">
        <f t="shared" si="2"/>
        <v>4424</v>
      </c>
      <c r="AA23" s="261">
        <f t="shared" si="2"/>
        <v>0</v>
      </c>
      <c r="AB23" s="261">
        <f t="shared" si="2"/>
        <v>28440</v>
      </c>
      <c r="AC23" s="272">
        <f t="shared" si="2"/>
        <v>0</v>
      </c>
    </row>
    <row r="24" spans="2:31" x14ac:dyDescent="0.25">
      <c r="D24" s="1"/>
      <c r="E24" s="1"/>
      <c r="F24" s="1"/>
    </row>
    <row r="25" spans="2:31" x14ac:dyDescent="0.25">
      <c r="D25" s="1"/>
      <c r="E25" s="1"/>
      <c r="F25" s="1"/>
    </row>
    <row r="26" spans="2:31" x14ac:dyDescent="0.25">
      <c r="D26" s="1"/>
      <c r="E26" s="1"/>
      <c r="F26" s="1"/>
    </row>
    <row r="27" spans="2:31" x14ac:dyDescent="0.25">
      <c r="B27" s="115"/>
    </row>
    <row r="28" spans="2:31" x14ac:dyDescent="0.25">
      <c r="B28" s="115"/>
    </row>
    <row r="29" spans="2:31" x14ac:dyDescent="0.25">
      <c r="B29" s="115"/>
    </row>
    <row r="30" spans="2:31" x14ac:dyDescent="0.25">
      <c r="B30" s="115"/>
      <c r="C30" s="123"/>
      <c r="D30" s="1"/>
      <c r="E30" s="1"/>
      <c r="F30" s="1"/>
    </row>
    <row r="31" spans="2:31" x14ac:dyDescent="0.25">
      <c r="B31" s="115"/>
      <c r="D31" s="1"/>
      <c r="E31" s="1"/>
      <c r="F31" s="1"/>
    </row>
    <row r="32" spans="2:31" x14ac:dyDescent="0.25">
      <c r="B32" s="115"/>
      <c r="D32" s="1"/>
      <c r="E32" s="1"/>
      <c r="F32" s="1"/>
    </row>
    <row r="33" spans="2:6" x14ac:dyDescent="0.25">
      <c r="B33" s="115"/>
      <c r="D33" s="1"/>
      <c r="E33" s="1"/>
      <c r="F33" s="1"/>
    </row>
    <row r="34" spans="2:6" x14ac:dyDescent="0.25">
      <c r="B34" s="115"/>
      <c r="D34" s="1"/>
      <c r="E34" s="1"/>
      <c r="F34" s="1"/>
    </row>
    <row r="35" spans="2:6" x14ac:dyDescent="0.25">
      <c r="B35" s="115"/>
      <c r="D35" s="1"/>
      <c r="E35" s="1"/>
      <c r="F35" s="1"/>
    </row>
    <row r="36" spans="2:6" x14ac:dyDescent="0.25">
      <c r="D36" s="1"/>
      <c r="E36" s="1"/>
      <c r="F36" s="1"/>
    </row>
    <row r="37" spans="2:6" s="114" customFormat="1" x14ac:dyDescent="0.25"/>
    <row r="38" spans="2:6" x14ac:dyDescent="0.25">
      <c r="B38" s="2"/>
      <c r="C38" s="1"/>
      <c r="D38" s="1"/>
      <c r="E38" s="1"/>
      <c r="F38" s="1"/>
    </row>
    <row r="39" spans="2:6" x14ac:dyDescent="0.25">
      <c r="B39" s="2"/>
      <c r="C39" s="1"/>
      <c r="D39" s="1"/>
      <c r="E39" s="1"/>
      <c r="F39" s="1"/>
    </row>
    <row r="40" spans="2:6" x14ac:dyDescent="0.25">
      <c r="D40" s="1"/>
      <c r="E40" s="1"/>
      <c r="F40" s="1"/>
    </row>
  </sheetData>
  <mergeCells count="2">
    <mergeCell ref="B6:B7"/>
    <mergeCell ref="D6:AC6"/>
  </mergeCells>
  <pageMargins left="0.39370078740157483" right="0.39370078740157483" top="0.19685039370078741" bottom="0.19685039370078741" header="0" footer="0"/>
  <pageSetup paperSize="9" scale="77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AE42"/>
  <sheetViews>
    <sheetView topLeftCell="A22" workbookViewId="0">
      <pane xSplit="3" topLeftCell="H1" activePane="topRight" state="frozen"/>
      <selection pane="topRight" activeCell="L37" sqref="L37"/>
    </sheetView>
  </sheetViews>
  <sheetFormatPr baseColWidth="10" defaultRowHeight="15" x14ac:dyDescent="0.25"/>
  <cols>
    <col min="1" max="1" width="1.7109375" style="1" customWidth="1"/>
    <col min="2" max="2" width="26.85546875" style="1" customWidth="1"/>
    <col min="3" max="3" width="2.7109375" style="2" customWidth="1"/>
    <col min="4" max="6" width="6.28515625" style="2" customWidth="1"/>
    <col min="7" max="28" width="6.28515625" style="1" customWidth="1"/>
    <col min="29" max="29" width="6.28515625" style="1" hidden="1" customWidth="1"/>
    <col min="30" max="30" width="3.7109375" style="1" customWidth="1"/>
    <col min="31" max="34" width="8.7109375" style="1" customWidth="1"/>
    <col min="35" max="16384" width="11.42578125" style="1"/>
  </cols>
  <sheetData>
    <row r="1" spans="1:31" ht="5.25" customHeight="1" x14ac:dyDescent="0.25">
      <c r="D1" s="1"/>
      <c r="E1" s="1"/>
      <c r="F1" s="1"/>
    </row>
    <row r="2" spans="1:31" ht="21" x14ac:dyDescent="0.35">
      <c r="B2" s="3" t="s">
        <v>0</v>
      </c>
      <c r="C2" s="1"/>
    </row>
    <row r="3" spans="1:31" ht="15" customHeight="1" x14ac:dyDescent="0.25">
      <c r="A3" s="5"/>
      <c r="B3" s="6" t="s">
        <v>1</v>
      </c>
      <c r="C3" s="7"/>
    </row>
    <row r="4" spans="1:31" ht="18" customHeight="1" x14ac:dyDescent="0.25">
      <c r="B4" s="134"/>
      <c r="F4" s="1"/>
    </row>
    <row r="5" spans="1:31" ht="15.75" thickBot="1" x14ac:dyDescent="0.3">
      <c r="A5" s="8"/>
      <c r="B5" s="8"/>
      <c r="D5" s="1"/>
      <c r="E5" s="1"/>
      <c r="F5" s="1"/>
    </row>
    <row r="6" spans="1:31" ht="27.75" customHeight="1" thickBot="1" x14ac:dyDescent="0.3">
      <c r="B6" s="343" t="s">
        <v>4</v>
      </c>
      <c r="D6" s="347" t="s">
        <v>35</v>
      </c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  <c r="AC6" s="348"/>
      <c r="AD6" s="348"/>
    </row>
    <row r="7" spans="1:31" ht="25.5" customHeight="1" thickBot="1" x14ac:dyDescent="0.3">
      <c r="B7" s="344"/>
      <c r="D7" s="161">
        <v>44199</v>
      </c>
      <c r="E7" s="161">
        <v>44200</v>
      </c>
      <c r="F7" s="161">
        <v>44201</v>
      </c>
      <c r="G7" s="161">
        <v>44202</v>
      </c>
      <c r="H7" s="161">
        <v>44203</v>
      </c>
      <c r="I7" s="161">
        <v>44204</v>
      </c>
      <c r="J7" s="161">
        <v>44571</v>
      </c>
      <c r="K7" s="161">
        <v>44572</v>
      </c>
      <c r="L7" s="161">
        <v>44573</v>
      </c>
      <c r="M7" s="161">
        <v>44574</v>
      </c>
      <c r="N7" s="161">
        <v>44575</v>
      </c>
      <c r="O7" s="161">
        <v>44576</v>
      </c>
      <c r="P7" s="161">
        <v>44578</v>
      </c>
      <c r="Q7" s="161">
        <v>44579</v>
      </c>
      <c r="R7" s="161">
        <v>44580</v>
      </c>
      <c r="S7" s="161">
        <v>44581</v>
      </c>
      <c r="T7" s="161">
        <v>44582</v>
      </c>
      <c r="U7" s="161">
        <v>44583</v>
      </c>
      <c r="V7" s="161">
        <v>44585</v>
      </c>
      <c r="W7" s="161">
        <v>44586</v>
      </c>
      <c r="X7" s="161">
        <v>44587</v>
      </c>
      <c r="Y7" s="161">
        <v>44588</v>
      </c>
      <c r="Z7" s="161">
        <v>44589</v>
      </c>
      <c r="AA7" s="161">
        <v>44590</v>
      </c>
      <c r="AB7" s="161">
        <v>44592</v>
      </c>
      <c r="AC7" s="161">
        <v>44562</v>
      </c>
      <c r="AD7" s="161"/>
      <c r="AE7" s="161"/>
    </row>
    <row r="8" spans="1:31" x14ac:dyDescent="0.25">
      <c r="B8" s="139" t="s">
        <v>13</v>
      </c>
      <c r="C8" s="44"/>
      <c r="D8" s="162">
        <f>'03-01'!AK8</f>
        <v>23</v>
      </c>
      <c r="E8" s="140">
        <f>'04-01'!AK8</f>
        <v>25</v>
      </c>
      <c r="F8" s="140">
        <f>'05-01'!AK8</f>
        <v>17</v>
      </c>
      <c r="G8" s="140">
        <f>'06-01'!AK8</f>
        <v>23</v>
      </c>
      <c r="H8" s="140">
        <f>'07-01'!AK8</f>
        <v>21</v>
      </c>
      <c r="I8" s="325">
        <f>'08-01'!AK8</f>
        <v>0</v>
      </c>
      <c r="J8" s="162">
        <f>'10-01'!AK8</f>
        <v>26</v>
      </c>
      <c r="K8" s="140">
        <f>'11-01'!AK8</f>
        <v>23</v>
      </c>
      <c r="L8" s="140">
        <f>'12-01'!AK8</f>
        <v>27</v>
      </c>
      <c r="M8" s="140">
        <f>'13-01'!AK8</f>
        <v>21</v>
      </c>
      <c r="N8" s="140">
        <f>'14-01'!AK8</f>
        <v>29</v>
      </c>
      <c r="O8" s="325">
        <f>'15-01'!AK8</f>
        <v>0</v>
      </c>
      <c r="P8" s="162">
        <f>'17-01'!AK8</f>
        <v>25</v>
      </c>
      <c r="Q8" s="140">
        <f>'18-01'!AK8</f>
        <v>15</v>
      </c>
      <c r="R8" s="140">
        <f>'19-01'!AK8</f>
        <v>16</v>
      </c>
      <c r="S8" s="140">
        <f>'20-01'!AK8</f>
        <v>18</v>
      </c>
      <c r="T8" s="140">
        <f>'21-12'!AK8</f>
        <v>26</v>
      </c>
      <c r="U8" s="322">
        <f>'22-01'!AK8</f>
        <v>0</v>
      </c>
      <c r="V8" s="170">
        <f>'24-01'!AK8</f>
        <v>22</v>
      </c>
      <c r="W8" s="140">
        <f>'25-01'!AK8</f>
        <v>15</v>
      </c>
      <c r="X8" s="140">
        <f>'26-01'!AK8</f>
        <v>0</v>
      </c>
      <c r="Y8" s="140">
        <f>'27-01'!AK8</f>
        <v>0</v>
      </c>
      <c r="Z8" s="140">
        <f>'28-01'!AK8</f>
        <v>0</v>
      </c>
      <c r="AA8" s="325">
        <f>'29-01'!AK8</f>
        <v>0</v>
      </c>
      <c r="AB8" s="141">
        <f>'31-01'!AK8</f>
        <v>0</v>
      </c>
      <c r="AC8" s="293">
        <f>'31-08'!AK8</f>
        <v>0</v>
      </c>
      <c r="AD8" s="147"/>
      <c r="AE8" s="141">
        <f t="shared" ref="AE8:AE22" si="0">SUM(D8:AC8)</f>
        <v>372</v>
      </c>
    </row>
    <row r="9" spans="1:31" x14ac:dyDescent="0.25">
      <c r="B9" s="142" t="s">
        <v>14</v>
      </c>
      <c r="C9" s="44"/>
      <c r="D9" s="163">
        <f>'03-01'!AK9</f>
        <v>9</v>
      </c>
      <c r="E9" s="137">
        <f>'04-01'!AK9</f>
        <v>10</v>
      </c>
      <c r="F9" s="137">
        <f>'05-01'!AK9</f>
        <v>10</v>
      </c>
      <c r="G9" s="137">
        <f>'06-01'!AK9</f>
        <v>11</v>
      </c>
      <c r="H9" s="137">
        <f>'07-01'!AK9</f>
        <v>15</v>
      </c>
      <c r="I9" s="326">
        <f>'08-01'!AK9</f>
        <v>5</v>
      </c>
      <c r="J9" s="163">
        <f>'10-01'!AK9</f>
        <v>0</v>
      </c>
      <c r="K9" s="137">
        <f>'11-01'!AK9</f>
        <v>0</v>
      </c>
      <c r="L9" s="137">
        <f>'12-01'!AK9</f>
        <v>0</v>
      </c>
      <c r="M9" s="137">
        <f>'13-01'!AK9</f>
        <v>0</v>
      </c>
      <c r="N9" s="137">
        <f>'14-01'!AK9</f>
        <v>0</v>
      </c>
      <c r="O9" s="326">
        <f>'15-01'!AK9</f>
        <v>1</v>
      </c>
      <c r="P9" s="163">
        <f>'17-01'!AK9</f>
        <v>15</v>
      </c>
      <c r="Q9" s="137">
        <f>'18-01'!AK9</f>
        <v>9</v>
      </c>
      <c r="R9" s="137">
        <f>'19-01'!AK9</f>
        <v>8</v>
      </c>
      <c r="S9" s="137">
        <f>'20-01'!AK9</f>
        <v>9</v>
      </c>
      <c r="T9" s="137">
        <f>'21-12'!AK9</f>
        <v>9</v>
      </c>
      <c r="U9" s="323">
        <f>'22-01'!AK9</f>
        <v>2</v>
      </c>
      <c r="V9" s="171">
        <f>'24-01'!AK9</f>
        <v>12</v>
      </c>
      <c r="W9" s="137">
        <f>'25-01'!AK9</f>
        <v>12</v>
      </c>
      <c r="X9" s="137">
        <f>'26-01'!AK9</f>
        <v>0</v>
      </c>
      <c r="Y9" s="137">
        <f>'27-01'!AK9</f>
        <v>8</v>
      </c>
      <c r="Z9" s="137">
        <f>'28-01'!AK9</f>
        <v>11</v>
      </c>
      <c r="AA9" s="326">
        <f>'29-01'!AK9</f>
        <v>0</v>
      </c>
      <c r="AB9" s="143">
        <f>'31-01'!AK9</f>
        <v>0</v>
      </c>
      <c r="AC9" s="294">
        <f>'31-08'!AK9</f>
        <v>0</v>
      </c>
      <c r="AD9" s="147"/>
      <c r="AE9" s="143">
        <f t="shared" si="0"/>
        <v>156</v>
      </c>
    </row>
    <row r="10" spans="1:31" x14ac:dyDescent="0.25">
      <c r="B10" s="142" t="s">
        <v>16</v>
      </c>
      <c r="C10" s="44"/>
      <c r="D10" s="163">
        <f>'03-01'!AK10</f>
        <v>9</v>
      </c>
      <c r="E10" s="137">
        <f>'04-01'!AK10</f>
        <v>0</v>
      </c>
      <c r="F10" s="137">
        <f>'05-01'!AK10</f>
        <v>0</v>
      </c>
      <c r="G10" s="137">
        <f>'06-01'!AK10</f>
        <v>0</v>
      </c>
      <c r="H10" s="137">
        <f>'07-01'!AK10</f>
        <v>10</v>
      </c>
      <c r="I10" s="326">
        <f>'08-01'!AK10</f>
        <v>0</v>
      </c>
      <c r="J10" s="163">
        <f>'10-01'!AK10</f>
        <v>10</v>
      </c>
      <c r="K10" s="137">
        <f>'11-01'!AK10</f>
        <v>0</v>
      </c>
      <c r="L10" s="137">
        <f>'12-01'!AK10</f>
        <v>0</v>
      </c>
      <c r="M10" s="137">
        <f>'13-01'!AK10</f>
        <v>0</v>
      </c>
      <c r="N10" s="137">
        <f>'14-01'!AK10</f>
        <v>10</v>
      </c>
      <c r="O10" s="326">
        <f>'15-01'!AK10</f>
        <v>0</v>
      </c>
      <c r="P10" s="163">
        <f>'17-01'!AK10</f>
        <v>8</v>
      </c>
      <c r="Q10" s="137">
        <f>'18-01'!AK10</f>
        <v>0</v>
      </c>
      <c r="R10" s="137">
        <f>'19-01'!AK10</f>
        <v>0</v>
      </c>
      <c r="S10" s="137">
        <f>'20-01'!AK10</f>
        <v>0</v>
      </c>
      <c r="T10" s="137">
        <f>'21-12'!AK10</f>
        <v>9</v>
      </c>
      <c r="U10" s="323">
        <f>'22-01'!AK10</f>
        <v>0</v>
      </c>
      <c r="V10" s="171">
        <f>'24-01'!AK10</f>
        <v>11</v>
      </c>
      <c r="W10" s="137">
        <f>'25-01'!AK10</f>
        <v>0</v>
      </c>
      <c r="X10" s="137">
        <f>'26-01'!AK10</f>
        <v>0</v>
      </c>
      <c r="Y10" s="137">
        <f>'27-01'!AK10</f>
        <v>0</v>
      </c>
      <c r="Z10" s="137">
        <f>'28-01'!AK10</f>
        <v>0</v>
      </c>
      <c r="AA10" s="326">
        <f>'29-01'!AK10</f>
        <v>0</v>
      </c>
      <c r="AB10" s="143">
        <f>'31-01'!AK10</f>
        <v>9</v>
      </c>
      <c r="AC10" s="294">
        <f>'31-08'!AK11</f>
        <v>0</v>
      </c>
      <c r="AD10" s="147"/>
      <c r="AE10" s="143">
        <f t="shared" si="0"/>
        <v>76</v>
      </c>
    </row>
    <row r="11" spans="1:31" x14ac:dyDescent="0.25">
      <c r="B11" s="142" t="s">
        <v>17</v>
      </c>
      <c r="C11" s="70"/>
      <c r="D11" s="163">
        <f>'03-01'!AK11</f>
        <v>13</v>
      </c>
      <c r="E11" s="137">
        <f>'04-01'!AK11</f>
        <v>14</v>
      </c>
      <c r="F11" s="137">
        <f>'05-01'!AK11</f>
        <v>10</v>
      </c>
      <c r="G11" s="137">
        <f>'06-01'!AK11</f>
        <v>14</v>
      </c>
      <c r="H11" s="137">
        <f>'07-01'!AK11</f>
        <v>12</v>
      </c>
      <c r="I11" s="326">
        <f>'08-01'!AK11</f>
        <v>10</v>
      </c>
      <c r="J11" s="163">
        <f>'10-01'!AK11</f>
        <v>13</v>
      </c>
      <c r="K11" s="137">
        <f>'11-01'!AK11</f>
        <v>10</v>
      </c>
      <c r="L11" s="137">
        <f>'12-01'!AK11</f>
        <v>18</v>
      </c>
      <c r="M11" s="137">
        <f>'13-01'!AK11</f>
        <v>10</v>
      </c>
      <c r="N11" s="137">
        <f>'14-01'!AK11</f>
        <v>17</v>
      </c>
      <c r="O11" s="326">
        <f>'15-01'!AK11</f>
        <v>13</v>
      </c>
      <c r="P11" s="163">
        <f>'17-01'!AK11</f>
        <v>14</v>
      </c>
      <c r="Q11" s="137">
        <f>'18-01'!AK11</f>
        <v>16</v>
      </c>
      <c r="R11" s="137">
        <f>'19-01'!AK11</f>
        <v>23</v>
      </c>
      <c r="S11" s="137">
        <f>'20-01'!AK11</f>
        <v>12</v>
      </c>
      <c r="T11" s="137">
        <f>'21-12'!AK11</f>
        <v>13</v>
      </c>
      <c r="U11" s="323">
        <f>'22-01'!AK11</f>
        <v>14</v>
      </c>
      <c r="V11" s="171">
        <f>'24-01'!AK11</f>
        <v>21</v>
      </c>
      <c r="W11" s="137">
        <f>'25-01'!AK11</f>
        <v>18</v>
      </c>
      <c r="X11" s="137">
        <f>'26-01'!AK11</f>
        <v>17</v>
      </c>
      <c r="Y11" s="137">
        <f>'27-01'!AK11</f>
        <v>13</v>
      </c>
      <c r="Z11" s="137">
        <f>'28-01'!AK11</f>
        <v>16</v>
      </c>
      <c r="AA11" s="326">
        <f>'29-01'!AK11</f>
        <v>11</v>
      </c>
      <c r="AB11" s="143">
        <f>'31-01'!AK11</f>
        <v>20</v>
      </c>
      <c r="AC11" s="294">
        <f>'31-08'!AK12</f>
        <v>0</v>
      </c>
      <c r="AD11" s="147"/>
      <c r="AE11" s="143">
        <f t="shared" si="0"/>
        <v>362</v>
      </c>
    </row>
    <row r="12" spans="1:31" x14ac:dyDescent="0.25">
      <c r="B12" s="142" t="s">
        <v>18</v>
      </c>
      <c r="C12" s="71"/>
      <c r="D12" s="163">
        <f>'03-01'!AK12</f>
        <v>13</v>
      </c>
      <c r="E12" s="137">
        <f>'04-01'!AK12</f>
        <v>5</v>
      </c>
      <c r="F12" s="137">
        <f>'05-01'!AK12</f>
        <v>7</v>
      </c>
      <c r="G12" s="137">
        <f>'06-01'!AK12</f>
        <v>18</v>
      </c>
      <c r="H12" s="137">
        <f>'07-01'!AK12</f>
        <v>0</v>
      </c>
      <c r="I12" s="326">
        <f>'08-01'!AK12</f>
        <v>0</v>
      </c>
      <c r="J12" s="163">
        <f>'10-01'!AK12</f>
        <v>0</v>
      </c>
      <c r="K12" s="137">
        <f>'11-01'!AK12</f>
        <v>7</v>
      </c>
      <c r="L12" s="137">
        <f>'12-01'!AK12</f>
        <v>6</v>
      </c>
      <c r="M12" s="137">
        <f>'13-01'!AK12</f>
        <v>15</v>
      </c>
      <c r="N12" s="137">
        <f>'14-01'!AK12</f>
        <v>0</v>
      </c>
      <c r="O12" s="326">
        <f>'15-01'!AK12</f>
        <v>0</v>
      </c>
      <c r="P12" s="163">
        <f>'17-01'!AK12</f>
        <v>13</v>
      </c>
      <c r="Q12" s="137">
        <f>'18-01'!AK12</f>
        <v>5</v>
      </c>
      <c r="R12" s="137">
        <f>'19-01'!AK12</f>
        <v>11</v>
      </c>
      <c r="S12" s="137">
        <f>'20-01'!AK12</f>
        <v>12</v>
      </c>
      <c r="T12" s="137">
        <f>'21-12'!AK12</f>
        <v>0</v>
      </c>
      <c r="U12" s="323">
        <f>'22-01'!AK12</f>
        <v>0</v>
      </c>
      <c r="V12" s="171">
        <f>'24-01'!AK12</f>
        <v>0</v>
      </c>
      <c r="W12" s="137">
        <f>'25-01'!AK12</f>
        <v>0</v>
      </c>
      <c r="X12" s="137">
        <f>'26-01'!AK12</f>
        <v>0</v>
      </c>
      <c r="Y12" s="137">
        <f>'27-01'!AK12</f>
        <v>0</v>
      </c>
      <c r="Z12" s="137">
        <f>'28-01'!AK12</f>
        <v>0</v>
      </c>
      <c r="AA12" s="326">
        <f>'29-01'!AK12</f>
        <v>0</v>
      </c>
      <c r="AB12" s="143">
        <f>'31-01'!AK12</f>
        <v>0</v>
      </c>
      <c r="AC12" s="294">
        <f>'31-08'!AK13</f>
        <v>0</v>
      </c>
      <c r="AD12" s="147"/>
      <c r="AE12" s="143">
        <f t="shared" si="0"/>
        <v>112</v>
      </c>
    </row>
    <row r="13" spans="1:31" x14ac:dyDescent="0.25">
      <c r="B13" s="142" t="s">
        <v>19</v>
      </c>
      <c r="C13" s="70"/>
      <c r="D13" s="163">
        <f>'03-01'!AK13</f>
        <v>3</v>
      </c>
      <c r="E13" s="137">
        <f>'04-01'!AK13</f>
        <v>11</v>
      </c>
      <c r="F13" s="137">
        <f>'05-01'!AK13</f>
        <v>0</v>
      </c>
      <c r="G13" s="137">
        <f>'06-01'!AK13</f>
        <v>0</v>
      </c>
      <c r="H13" s="137">
        <f>'07-01'!AK13</f>
        <v>0</v>
      </c>
      <c r="I13" s="326">
        <f>'08-01'!AK13</f>
        <v>0</v>
      </c>
      <c r="J13" s="163">
        <f>'10-01'!AK13</f>
        <v>0</v>
      </c>
      <c r="K13" s="137">
        <f>'11-01'!AK13</f>
        <v>0</v>
      </c>
      <c r="L13" s="137">
        <f>'12-01'!AK13</f>
        <v>0</v>
      </c>
      <c r="M13" s="137">
        <f>'13-01'!AK13</f>
        <v>0</v>
      </c>
      <c r="N13" s="137">
        <f>'14-01'!AK13</f>
        <v>0</v>
      </c>
      <c r="O13" s="326">
        <f>'15-01'!AK13</f>
        <v>0</v>
      </c>
      <c r="P13" s="163">
        <f>'17-01'!AK13</f>
        <v>2</v>
      </c>
      <c r="Q13" s="137">
        <f>'18-01'!AK13</f>
        <v>10</v>
      </c>
      <c r="R13" s="137">
        <f>'19-01'!AK13</f>
        <v>0</v>
      </c>
      <c r="S13" s="137">
        <f>'20-01'!AK13</f>
        <v>0</v>
      </c>
      <c r="T13" s="137">
        <f>'21-12'!AK13</f>
        <v>0</v>
      </c>
      <c r="U13" s="323">
        <f>'22-01'!AK13</f>
        <v>0</v>
      </c>
      <c r="V13" s="171">
        <f>'24-01'!AK13</f>
        <v>3</v>
      </c>
      <c r="W13" s="137">
        <f>'25-01'!AK13</f>
        <v>10</v>
      </c>
      <c r="X13" s="137">
        <f>'26-01'!AK13</f>
        <v>0</v>
      </c>
      <c r="Y13" s="137">
        <f>'27-01'!AK13</f>
        <v>0</v>
      </c>
      <c r="Z13" s="137">
        <f>'28-01'!AK13</f>
        <v>0</v>
      </c>
      <c r="AA13" s="326">
        <f>'29-01'!AK13</f>
        <v>0</v>
      </c>
      <c r="AB13" s="143">
        <f>'31-01'!AK13</f>
        <v>0</v>
      </c>
      <c r="AC13" s="294">
        <f>'31-08'!AK14</f>
        <v>0</v>
      </c>
      <c r="AD13" s="147"/>
      <c r="AE13" s="143">
        <f t="shared" si="0"/>
        <v>39</v>
      </c>
    </row>
    <row r="14" spans="1:31" x14ac:dyDescent="0.25">
      <c r="B14" s="142" t="s">
        <v>20</v>
      </c>
      <c r="C14" s="70"/>
      <c r="D14" s="163">
        <f>'03-01'!AK14</f>
        <v>4</v>
      </c>
      <c r="E14" s="137">
        <f>'04-01'!AK14</f>
        <v>0</v>
      </c>
      <c r="F14" s="137">
        <f>'05-01'!AK14</f>
        <v>5</v>
      </c>
      <c r="G14" s="137">
        <f>'06-01'!AK14</f>
        <v>0</v>
      </c>
      <c r="H14" s="137">
        <f>'07-01'!AK14</f>
        <v>0</v>
      </c>
      <c r="I14" s="326">
        <f>'08-01'!AK14</f>
        <v>0</v>
      </c>
      <c r="J14" s="163">
        <f>'10-01'!AK14</f>
        <v>4</v>
      </c>
      <c r="K14" s="137">
        <f>'11-01'!AK14</f>
        <v>0</v>
      </c>
      <c r="L14" s="137">
        <f>'12-01'!AK14</f>
        <v>4</v>
      </c>
      <c r="M14" s="137">
        <f>'13-01'!AK14</f>
        <v>0</v>
      </c>
      <c r="N14" s="137">
        <f>'14-01'!AK14</f>
        <v>0</v>
      </c>
      <c r="O14" s="326">
        <f>'15-01'!AK14</f>
        <v>0</v>
      </c>
      <c r="P14" s="163">
        <f>'17-01'!AK14</f>
        <v>5</v>
      </c>
      <c r="Q14" s="137">
        <f>'18-01'!AK14</f>
        <v>0</v>
      </c>
      <c r="R14" s="137">
        <f>'19-01'!AK14</f>
        <v>3</v>
      </c>
      <c r="S14" s="137">
        <f>'20-01'!AK14</f>
        <v>0</v>
      </c>
      <c r="T14" s="137">
        <f>'21-12'!AK14</f>
        <v>0</v>
      </c>
      <c r="U14" s="323">
        <f>'22-01'!AK14</f>
        <v>0</v>
      </c>
      <c r="V14" s="171">
        <f>'24-01'!AK14</f>
        <v>4</v>
      </c>
      <c r="W14" s="137">
        <f>'25-01'!AK14</f>
        <v>0</v>
      </c>
      <c r="X14" s="137">
        <f>'26-01'!AK14</f>
        <v>5</v>
      </c>
      <c r="Y14" s="137">
        <f>'27-01'!AK14</f>
        <v>0</v>
      </c>
      <c r="Z14" s="137">
        <f>'28-01'!AK14</f>
        <v>0</v>
      </c>
      <c r="AA14" s="326">
        <f>'29-01'!AK14</f>
        <v>0</v>
      </c>
      <c r="AB14" s="143">
        <f>'31-01'!AK14</f>
        <v>4</v>
      </c>
      <c r="AC14" s="294">
        <f>'31-08'!AK15</f>
        <v>0</v>
      </c>
      <c r="AD14" s="147"/>
      <c r="AE14" s="143">
        <f t="shared" si="0"/>
        <v>38</v>
      </c>
    </row>
    <row r="15" spans="1:31" x14ac:dyDescent="0.25">
      <c r="B15" s="142" t="s">
        <v>21</v>
      </c>
      <c r="C15" s="70"/>
      <c r="D15" s="163">
        <f>'03-01'!AK15</f>
        <v>0</v>
      </c>
      <c r="E15" s="137">
        <f>'04-01'!AK15</f>
        <v>9</v>
      </c>
      <c r="F15" s="137">
        <f>'05-01'!AK15</f>
        <v>0</v>
      </c>
      <c r="G15" s="137">
        <f>'06-01'!AK15</f>
        <v>3</v>
      </c>
      <c r="H15" s="137">
        <f>'07-01'!AK15</f>
        <v>0</v>
      </c>
      <c r="I15" s="326">
        <f>'08-01'!AK15</f>
        <v>0</v>
      </c>
      <c r="J15" s="163">
        <f>'10-01'!AK15</f>
        <v>0</v>
      </c>
      <c r="K15" s="137">
        <f>'11-01'!AK15</f>
        <v>6</v>
      </c>
      <c r="L15" s="137">
        <f>'12-01'!AK15</f>
        <v>0</v>
      </c>
      <c r="M15" s="137">
        <f>'13-01'!AK15</f>
        <v>6</v>
      </c>
      <c r="N15" s="137">
        <f>'14-01'!AK15</f>
        <v>0</v>
      </c>
      <c r="O15" s="326">
        <f>'15-01'!AK15</f>
        <v>0</v>
      </c>
      <c r="P15" s="163">
        <f>'17-01'!AK15</f>
        <v>0</v>
      </c>
      <c r="Q15" s="137">
        <f>'18-01'!AK15</f>
        <v>7</v>
      </c>
      <c r="R15" s="137">
        <f>'19-01'!AK15</f>
        <v>0</v>
      </c>
      <c r="S15" s="137">
        <f>'20-01'!AK15</f>
        <v>6</v>
      </c>
      <c r="T15" s="137">
        <f>'21-12'!AK15</f>
        <v>0</v>
      </c>
      <c r="U15" s="323">
        <f>'22-01'!AK15</f>
        <v>0</v>
      </c>
      <c r="V15" s="171">
        <f>'24-01'!AK15</f>
        <v>0</v>
      </c>
      <c r="W15" s="137">
        <f>'25-01'!AK15</f>
        <v>0</v>
      </c>
      <c r="X15" s="137">
        <f>'26-01'!AK15</f>
        <v>0</v>
      </c>
      <c r="Y15" s="137">
        <f>'27-01'!AK15</f>
        <v>0</v>
      </c>
      <c r="Z15" s="137">
        <f>'28-01'!AK15</f>
        <v>0</v>
      </c>
      <c r="AA15" s="326">
        <f>'29-01'!AK15</f>
        <v>0</v>
      </c>
      <c r="AB15" s="143">
        <f>'31-01'!AK15</f>
        <v>0</v>
      </c>
      <c r="AC15" s="294">
        <f>'31-08'!AK16</f>
        <v>0</v>
      </c>
      <c r="AD15" s="147"/>
      <c r="AE15" s="143">
        <f t="shared" si="0"/>
        <v>37</v>
      </c>
    </row>
    <row r="16" spans="1:31" x14ac:dyDescent="0.25">
      <c r="B16" s="46" t="s">
        <v>33</v>
      </c>
      <c r="C16" s="70"/>
      <c r="D16" s="163">
        <f>'03-01'!AK16</f>
        <v>0</v>
      </c>
      <c r="E16" s="137">
        <f>'04-01'!AK16</f>
        <v>0</v>
      </c>
      <c r="F16" s="137">
        <f>'05-01'!AK16</f>
        <v>0</v>
      </c>
      <c r="G16" s="137">
        <f>'06-01'!AK16</f>
        <v>0</v>
      </c>
      <c r="H16" s="137">
        <f>'07-01'!AK16</f>
        <v>0</v>
      </c>
      <c r="I16" s="326">
        <f>'08-01'!AK16</f>
        <v>0</v>
      </c>
      <c r="J16" s="163">
        <f>'10-01'!AK16</f>
        <v>0</v>
      </c>
      <c r="K16" s="137">
        <f>'11-01'!AK16</f>
        <v>0</v>
      </c>
      <c r="L16" s="137">
        <f>'12-01'!AK16</f>
        <v>0</v>
      </c>
      <c r="M16" s="137">
        <f>'13-01'!AK16</f>
        <v>0</v>
      </c>
      <c r="N16" s="137">
        <f>'14-01'!AK16</f>
        <v>0</v>
      </c>
      <c r="O16" s="326">
        <f>'15-01'!AK16</f>
        <v>0</v>
      </c>
      <c r="P16" s="163">
        <f>'17-01'!AK16</f>
        <v>0</v>
      </c>
      <c r="Q16" s="137">
        <f>'18-01'!AK16</f>
        <v>0</v>
      </c>
      <c r="R16" s="137">
        <f>'19-01'!AK16</f>
        <v>0</v>
      </c>
      <c r="S16" s="137">
        <f>'20-01'!AK16</f>
        <v>0</v>
      </c>
      <c r="T16" s="137">
        <f>'21-12'!AK16</f>
        <v>0</v>
      </c>
      <c r="U16" s="323">
        <f>'22-01'!AK16</f>
        <v>0</v>
      </c>
      <c r="V16" s="171">
        <f>'24-01'!AK16</f>
        <v>0</v>
      </c>
      <c r="W16" s="137">
        <f>'25-01'!AK16</f>
        <v>0</v>
      </c>
      <c r="X16" s="137">
        <f>'26-01'!AK16</f>
        <v>0</v>
      </c>
      <c r="Y16" s="137">
        <f>'27-01'!AK16</f>
        <v>0</v>
      </c>
      <c r="Z16" s="137">
        <f>'28-01'!AK16</f>
        <v>0</v>
      </c>
      <c r="AA16" s="326">
        <f>'29-01'!AK16</f>
        <v>0</v>
      </c>
      <c r="AB16" s="143">
        <f>'31-01'!AK16</f>
        <v>0</v>
      </c>
      <c r="AC16" s="294">
        <f>'31-08'!AK18</f>
        <v>0</v>
      </c>
      <c r="AD16" s="147"/>
      <c r="AE16" s="143">
        <f t="shared" si="0"/>
        <v>0</v>
      </c>
    </row>
    <row r="17" spans="2:31" x14ac:dyDescent="0.25">
      <c r="B17" s="142" t="s">
        <v>23</v>
      </c>
      <c r="C17" s="70"/>
      <c r="D17" s="163">
        <f>'03-01'!AK17</f>
        <v>0</v>
      </c>
      <c r="E17" s="137">
        <f>'04-01'!AK17</f>
        <v>15</v>
      </c>
      <c r="F17" s="137">
        <f>'05-01'!AK17</f>
        <v>0</v>
      </c>
      <c r="G17" s="137">
        <f>'06-01'!AK17</f>
        <v>0</v>
      </c>
      <c r="H17" s="137">
        <f>'07-01'!AK17</f>
        <v>0</v>
      </c>
      <c r="I17" s="326">
        <f>'08-01'!AK17</f>
        <v>0</v>
      </c>
      <c r="J17" s="163">
        <f>'10-01'!AK17</f>
        <v>0</v>
      </c>
      <c r="K17" s="137">
        <f>'11-01'!AK17</f>
        <v>11</v>
      </c>
      <c r="L17" s="137">
        <f>'12-01'!AK17</f>
        <v>0</v>
      </c>
      <c r="M17" s="137">
        <f>'13-01'!AK17</f>
        <v>0</v>
      </c>
      <c r="N17" s="137">
        <f>'14-01'!AK17</f>
        <v>0</v>
      </c>
      <c r="O17" s="326">
        <f>'15-01'!AK17</f>
        <v>0</v>
      </c>
      <c r="P17" s="163">
        <f>'17-01'!AK17</f>
        <v>0</v>
      </c>
      <c r="Q17" s="137">
        <f>'18-01'!AK17</f>
        <v>14</v>
      </c>
      <c r="R17" s="137">
        <f>'19-01'!AK17</f>
        <v>0</v>
      </c>
      <c r="S17" s="137">
        <f>'20-01'!AK17</f>
        <v>0</v>
      </c>
      <c r="T17" s="137">
        <f>'21-12'!AK17</f>
        <v>0</v>
      </c>
      <c r="U17" s="323">
        <f>'22-01'!AK17</f>
        <v>0</v>
      </c>
      <c r="V17" s="171">
        <f>'24-01'!AK17</f>
        <v>0</v>
      </c>
      <c r="W17" s="137">
        <f>'25-01'!AK17</f>
        <v>0</v>
      </c>
      <c r="X17" s="137">
        <f>'26-01'!AK17</f>
        <v>0</v>
      </c>
      <c r="Y17" s="137">
        <f>'27-01'!AK17</f>
        <v>0</v>
      </c>
      <c r="Z17" s="137">
        <f>'28-01'!AK17</f>
        <v>0</v>
      </c>
      <c r="AA17" s="326">
        <f>'29-01'!AK17</f>
        <v>0</v>
      </c>
      <c r="AB17" s="143">
        <f>'31-01'!AK17</f>
        <v>0</v>
      </c>
      <c r="AC17" s="294">
        <f>'31-08'!AK19</f>
        <v>0</v>
      </c>
      <c r="AD17" s="147"/>
      <c r="AE17" s="143">
        <f t="shared" si="0"/>
        <v>40</v>
      </c>
    </row>
    <row r="18" spans="2:31" x14ac:dyDescent="0.25">
      <c r="B18" s="142" t="s">
        <v>24</v>
      </c>
      <c r="C18" s="70"/>
      <c r="D18" s="163">
        <f>'03-01'!AK18</f>
        <v>0</v>
      </c>
      <c r="E18" s="137">
        <f>'04-01'!AK18</f>
        <v>4</v>
      </c>
      <c r="F18" s="137">
        <f>'05-01'!AK18</f>
        <v>0</v>
      </c>
      <c r="G18" s="137">
        <f>'06-01'!AK18</f>
        <v>1</v>
      </c>
      <c r="H18" s="137">
        <f>'07-01'!AK18</f>
        <v>0</v>
      </c>
      <c r="I18" s="326">
        <f>'08-01'!AK18</f>
        <v>2</v>
      </c>
      <c r="J18" s="163">
        <f>'10-01'!AK18</f>
        <v>0</v>
      </c>
      <c r="K18" s="137">
        <f>'11-01'!AK18</f>
        <v>0</v>
      </c>
      <c r="L18" s="137">
        <f>'12-01'!AK18</f>
        <v>0</v>
      </c>
      <c r="M18" s="137">
        <f>'13-01'!AK18</f>
        <v>0</v>
      </c>
      <c r="N18" s="137">
        <f>'14-01'!AK18</f>
        <v>0</v>
      </c>
      <c r="O18" s="326">
        <f>'15-01'!AK18</f>
        <v>0</v>
      </c>
      <c r="P18" s="163">
        <f>'17-01'!AK18</f>
        <v>0</v>
      </c>
      <c r="Q18" s="137">
        <f>'18-01'!AK18</f>
        <v>0</v>
      </c>
      <c r="R18" s="137">
        <f>'19-01'!AK18</f>
        <v>0</v>
      </c>
      <c r="S18" s="137">
        <f>'20-01'!AK18</f>
        <v>0</v>
      </c>
      <c r="T18" s="137">
        <f>'21-12'!AK18</f>
        <v>0</v>
      </c>
      <c r="U18" s="323">
        <f>'22-01'!AK18</f>
        <v>0</v>
      </c>
      <c r="V18" s="171">
        <f>'24-01'!AK18</f>
        <v>0</v>
      </c>
      <c r="W18" s="137">
        <f>'25-01'!AK18</f>
        <v>3</v>
      </c>
      <c r="X18" s="137">
        <f>'26-01'!AK18</f>
        <v>0</v>
      </c>
      <c r="Y18" s="137">
        <f>'27-01'!AK18</f>
        <v>2</v>
      </c>
      <c r="Z18" s="137">
        <f>'28-01'!AK18</f>
        <v>0</v>
      </c>
      <c r="AA18" s="326">
        <f>'29-01'!AK18</f>
        <v>0</v>
      </c>
      <c r="AB18" s="143">
        <f>'31-01'!AK18</f>
        <v>0</v>
      </c>
      <c r="AC18" s="294">
        <f>'31-08'!AK20</f>
        <v>0</v>
      </c>
      <c r="AD18" s="147"/>
      <c r="AE18" s="143">
        <f t="shared" si="0"/>
        <v>12</v>
      </c>
    </row>
    <row r="19" spans="2:31" x14ac:dyDescent="0.25">
      <c r="B19" s="142" t="s">
        <v>0</v>
      </c>
      <c r="C19" s="70"/>
      <c r="D19" s="163">
        <f>'03-01'!AK19</f>
        <v>0</v>
      </c>
      <c r="E19" s="137">
        <f>'04-01'!AK19</f>
        <v>5</v>
      </c>
      <c r="F19" s="137">
        <f>'05-01'!AK19</f>
        <v>0</v>
      </c>
      <c r="G19" s="137">
        <f>'06-01'!AK19</f>
        <v>5</v>
      </c>
      <c r="H19" s="137">
        <f>'07-01'!AK19</f>
        <v>0</v>
      </c>
      <c r="I19" s="326">
        <f>'08-01'!AK19</f>
        <v>1</v>
      </c>
      <c r="J19" s="163">
        <f>'10-01'!AK19</f>
        <v>0</v>
      </c>
      <c r="K19" s="137">
        <f>'11-01'!AK19</f>
        <v>6</v>
      </c>
      <c r="L19" s="137">
        <f>'12-01'!AK19</f>
        <v>0</v>
      </c>
      <c r="M19" s="137">
        <f>'13-01'!AK19</f>
        <v>0</v>
      </c>
      <c r="N19" s="137">
        <f>'14-01'!AK19</f>
        <v>0</v>
      </c>
      <c r="O19" s="326">
        <f>'15-01'!AK19</f>
        <v>0</v>
      </c>
      <c r="P19" s="163">
        <f>'17-01'!AK19</f>
        <v>0</v>
      </c>
      <c r="Q19" s="137">
        <f>'18-01'!AK19</f>
        <v>0</v>
      </c>
      <c r="R19" s="137">
        <f>'19-01'!AK19</f>
        <v>0</v>
      </c>
      <c r="S19" s="137">
        <f>'20-01'!AK19</f>
        <v>0</v>
      </c>
      <c r="T19" s="137">
        <f>'21-12'!AK19</f>
        <v>0</v>
      </c>
      <c r="U19" s="323">
        <f>'22-01'!AK19</f>
        <v>0</v>
      </c>
      <c r="V19" s="171">
        <f>'24-01'!AK19</f>
        <v>0</v>
      </c>
      <c r="W19" s="137">
        <f>'25-01'!AK19</f>
        <v>7</v>
      </c>
      <c r="X19" s="137">
        <f>'26-01'!AK19</f>
        <v>0</v>
      </c>
      <c r="Y19" s="137">
        <f>'27-01'!AK19</f>
        <v>9</v>
      </c>
      <c r="Z19" s="137">
        <f>'28-01'!AK19</f>
        <v>0</v>
      </c>
      <c r="AA19" s="326">
        <f>'29-01'!AK19</f>
        <v>0</v>
      </c>
      <c r="AB19" s="143">
        <f>'31-01'!AK19</f>
        <v>0</v>
      </c>
      <c r="AC19" s="294">
        <f>'31-08'!AK21</f>
        <v>0</v>
      </c>
      <c r="AD19" s="147"/>
      <c r="AE19" s="143">
        <f t="shared" si="0"/>
        <v>33</v>
      </c>
    </row>
    <row r="20" spans="2:31" x14ac:dyDescent="0.25">
      <c r="B20" s="142" t="s">
        <v>0</v>
      </c>
      <c r="C20" s="70"/>
      <c r="D20" s="163">
        <f>'03-01'!AK20</f>
        <v>0</v>
      </c>
      <c r="E20" s="137">
        <f>'04-01'!AK20</f>
        <v>0</v>
      </c>
      <c r="F20" s="137">
        <f>'05-01'!AK20</f>
        <v>0</v>
      </c>
      <c r="G20" s="137">
        <f>'06-01'!AK20</f>
        <v>0</v>
      </c>
      <c r="H20" s="137">
        <f>'07-01'!AK20</f>
        <v>0</v>
      </c>
      <c r="I20" s="326">
        <f>'08-01'!AK20</f>
        <v>0</v>
      </c>
      <c r="J20" s="163">
        <f>'10-01'!AK20</f>
        <v>0</v>
      </c>
      <c r="K20" s="137">
        <f>'11-01'!AK20</f>
        <v>0</v>
      </c>
      <c r="L20" s="137">
        <f>'12-01'!AK20</f>
        <v>0</v>
      </c>
      <c r="M20" s="137">
        <f>'13-01'!AK20</f>
        <v>0</v>
      </c>
      <c r="N20" s="137">
        <f>'14-01'!AK20</f>
        <v>0</v>
      </c>
      <c r="O20" s="326">
        <f>'15-01'!AK20</f>
        <v>0</v>
      </c>
      <c r="P20" s="163">
        <f>'17-01'!AK20</f>
        <v>0</v>
      </c>
      <c r="Q20" s="137">
        <f>'18-01'!AK20</f>
        <v>0</v>
      </c>
      <c r="R20" s="137">
        <f>'19-01'!AK20</f>
        <v>0</v>
      </c>
      <c r="S20" s="137">
        <f>'20-01'!AK20</f>
        <v>0</v>
      </c>
      <c r="T20" s="137">
        <f>'21-12'!AK20</f>
        <v>0</v>
      </c>
      <c r="U20" s="323">
        <f>'22-01'!AK20</f>
        <v>0</v>
      </c>
      <c r="V20" s="171">
        <f>'24-01'!AK20</f>
        <v>0</v>
      </c>
      <c r="W20" s="137">
        <f>'25-01'!AK20</f>
        <v>0</v>
      </c>
      <c r="X20" s="137">
        <f>'26-01'!AK20</f>
        <v>0</v>
      </c>
      <c r="Y20" s="137">
        <f>'27-01'!AK20</f>
        <v>0</v>
      </c>
      <c r="Z20" s="137">
        <f>'28-01'!AK20</f>
        <v>0</v>
      </c>
      <c r="AA20" s="326">
        <f>'29-01'!AK20</f>
        <v>0</v>
      </c>
      <c r="AB20" s="143">
        <f>'31-01'!AK20</f>
        <v>0</v>
      </c>
      <c r="AC20" s="294">
        <f>'31-08'!AK22</f>
        <v>0</v>
      </c>
      <c r="AD20" s="147"/>
      <c r="AE20" s="143">
        <f t="shared" si="0"/>
        <v>0</v>
      </c>
    </row>
    <row r="21" spans="2:31" x14ac:dyDescent="0.25">
      <c r="B21" s="142" t="s">
        <v>28</v>
      </c>
      <c r="C21" s="70"/>
      <c r="D21" s="163">
        <f>'03-01'!AK21</f>
        <v>16</v>
      </c>
      <c r="E21" s="137">
        <f>'04-01'!AK21</f>
        <v>18</v>
      </c>
      <c r="F21" s="137">
        <f>'05-01'!AK21</f>
        <v>5</v>
      </c>
      <c r="G21" s="137">
        <f>'06-01'!AK21</f>
        <v>14</v>
      </c>
      <c r="H21" s="137">
        <f>'07-01'!AK21</f>
        <v>14</v>
      </c>
      <c r="I21" s="326">
        <f>'08-01'!AK21</f>
        <v>0</v>
      </c>
      <c r="J21" s="163">
        <f>'10-01'!AK21</f>
        <v>17</v>
      </c>
      <c r="K21" s="137">
        <f>'11-01'!AK21</f>
        <v>17</v>
      </c>
      <c r="L21" s="137">
        <f>'12-01'!AK21</f>
        <v>7</v>
      </c>
      <c r="M21" s="137">
        <f>'13-01'!AK21</f>
        <v>13</v>
      </c>
      <c r="N21" s="137">
        <f>'14-01'!AK21</f>
        <v>12</v>
      </c>
      <c r="O21" s="326">
        <f>'15-01'!AK21</f>
        <v>0</v>
      </c>
      <c r="P21" s="163">
        <f>'17-01'!AK21</f>
        <v>15</v>
      </c>
      <c r="Q21" s="137">
        <f>'18-01'!AK21</f>
        <v>16</v>
      </c>
      <c r="R21" s="137">
        <f>'19-01'!AK21</f>
        <v>5</v>
      </c>
      <c r="S21" s="137">
        <f>'20-01'!AK21</f>
        <v>14</v>
      </c>
      <c r="T21" s="137">
        <f>'21-12'!AK21</f>
        <v>16</v>
      </c>
      <c r="U21" s="323">
        <f>'22-01'!AK21</f>
        <v>0</v>
      </c>
      <c r="V21" s="171">
        <f>'24-01'!AK21</f>
        <v>13</v>
      </c>
      <c r="W21" s="137">
        <f>'25-01'!AK21</f>
        <v>0</v>
      </c>
      <c r="X21" s="137">
        <f>'26-01'!AK21</f>
        <v>6</v>
      </c>
      <c r="Y21" s="137">
        <f>'27-01'!AK21</f>
        <v>3</v>
      </c>
      <c r="Z21" s="137">
        <f>'28-01'!AK21</f>
        <v>8</v>
      </c>
      <c r="AA21" s="326">
        <f>'29-01'!AK21</f>
        <v>0</v>
      </c>
      <c r="AB21" s="143">
        <f>'31-01'!AK21</f>
        <v>11</v>
      </c>
      <c r="AC21" s="294">
        <f>'31-08'!AK24</f>
        <v>0</v>
      </c>
      <c r="AD21" s="147"/>
      <c r="AE21" s="143">
        <f t="shared" si="0"/>
        <v>240</v>
      </c>
    </row>
    <row r="22" spans="2:31" ht="15.75" thickBot="1" x14ac:dyDescent="0.3">
      <c r="B22" s="144" t="s">
        <v>29</v>
      </c>
      <c r="C22" s="70"/>
      <c r="D22" s="164">
        <f>'03-01'!AK22</f>
        <v>12</v>
      </c>
      <c r="E22" s="138">
        <f>'04-01'!AK22</f>
        <v>8</v>
      </c>
      <c r="F22" s="138">
        <f>'05-01'!AK22</f>
        <v>9</v>
      </c>
      <c r="G22" s="138">
        <f>'06-01'!AK22</f>
        <v>10</v>
      </c>
      <c r="H22" s="138">
        <f>'07-01'!AK22</f>
        <v>5</v>
      </c>
      <c r="I22" s="327">
        <f>'08-01'!AK22</f>
        <v>0</v>
      </c>
      <c r="J22" s="164">
        <f>'10-01'!AK22</f>
        <v>12</v>
      </c>
      <c r="K22" s="138">
        <f>'11-01'!AK22</f>
        <v>11</v>
      </c>
      <c r="L22" s="138">
        <f>'12-01'!AK22</f>
        <v>8</v>
      </c>
      <c r="M22" s="138">
        <f>'13-01'!AK22</f>
        <v>8</v>
      </c>
      <c r="N22" s="138">
        <f>'14-01'!AK22</f>
        <v>4</v>
      </c>
      <c r="O22" s="327">
        <f>'15-01'!AK22</f>
        <v>0</v>
      </c>
      <c r="P22" s="164">
        <f>'17-01'!AK22</f>
        <v>13</v>
      </c>
      <c r="Q22" s="138">
        <f>'18-01'!AK22</f>
        <v>14</v>
      </c>
      <c r="R22" s="138">
        <f>'19-01'!AK22</f>
        <v>13</v>
      </c>
      <c r="S22" s="138">
        <f>'20-01'!AK22</f>
        <v>9</v>
      </c>
      <c r="T22" s="138">
        <f>'21-12'!AK22</f>
        <v>12</v>
      </c>
      <c r="U22" s="324">
        <f>'22-01'!AK22</f>
        <v>0</v>
      </c>
      <c r="V22" s="172">
        <f>'24-01'!AK22</f>
        <v>11</v>
      </c>
      <c r="W22" s="138">
        <f>'25-01'!AK22</f>
        <v>0</v>
      </c>
      <c r="X22" s="138">
        <f>'26-01'!AK22</f>
        <v>0</v>
      </c>
      <c r="Y22" s="138">
        <f>'27-01'!AK22</f>
        <v>0</v>
      </c>
      <c r="Z22" s="138">
        <f>'28-01'!AK22</f>
        <v>0</v>
      </c>
      <c r="AA22" s="327">
        <f>'29-01'!AK22</f>
        <v>0</v>
      </c>
      <c r="AB22" s="160">
        <f>'31-01'!AK22</f>
        <v>0</v>
      </c>
      <c r="AC22" s="295">
        <f>'31-08'!AK25</f>
        <v>0</v>
      </c>
      <c r="AD22" s="147"/>
      <c r="AE22" s="160">
        <f t="shared" si="0"/>
        <v>159</v>
      </c>
    </row>
    <row r="23" spans="2:31" x14ac:dyDescent="0.25">
      <c r="C23" s="70"/>
      <c r="D23" s="145">
        <f t="shared" ref="D23:AC23" si="1">SUM(D8:D22)</f>
        <v>102</v>
      </c>
      <c r="E23" s="145">
        <f t="shared" si="1"/>
        <v>124</v>
      </c>
      <c r="F23" s="145">
        <f t="shared" si="1"/>
        <v>63</v>
      </c>
      <c r="G23" s="145">
        <f t="shared" si="1"/>
        <v>99</v>
      </c>
      <c r="H23" s="145">
        <f t="shared" si="1"/>
        <v>77</v>
      </c>
      <c r="I23" s="145">
        <f t="shared" si="1"/>
        <v>18</v>
      </c>
      <c r="J23" s="145">
        <f t="shared" si="1"/>
        <v>82</v>
      </c>
      <c r="K23" s="145">
        <f t="shared" si="1"/>
        <v>91</v>
      </c>
      <c r="L23" s="145">
        <f t="shared" si="1"/>
        <v>70</v>
      </c>
      <c r="M23" s="145">
        <f t="shared" si="1"/>
        <v>73</v>
      </c>
      <c r="N23" s="145">
        <f t="shared" si="1"/>
        <v>72</v>
      </c>
      <c r="O23" s="145">
        <f t="shared" si="1"/>
        <v>14</v>
      </c>
      <c r="P23" s="145">
        <f t="shared" si="1"/>
        <v>110</v>
      </c>
      <c r="Q23" s="145">
        <f t="shared" si="1"/>
        <v>106</v>
      </c>
      <c r="R23" s="145">
        <f t="shared" si="1"/>
        <v>79</v>
      </c>
      <c r="S23" s="145">
        <f t="shared" si="1"/>
        <v>80</v>
      </c>
      <c r="T23" s="145">
        <f t="shared" si="1"/>
        <v>85</v>
      </c>
      <c r="U23" s="145">
        <f t="shared" si="1"/>
        <v>16</v>
      </c>
      <c r="V23" s="145">
        <f t="shared" si="1"/>
        <v>97</v>
      </c>
      <c r="W23" s="145">
        <f t="shared" si="1"/>
        <v>65</v>
      </c>
      <c r="X23" s="145">
        <f t="shared" si="1"/>
        <v>28</v>
      </c>
      <c r="Y23" s="145">
        <f t="shared" si="1"/>
        <v>35</v>
      </c>
      <c r="Z23" s="145">
        <f t="shared" si="1"/>
        <v>35</v>
      </c>
      <c r="AA23" s="145">
        <f t="shared" si="1"/>
        <v>11</v>
      </c>
      <c r="AB23" s="145">
        <f t="shared" si="1"/>
        <v>44</v>
      </c>
      <c r="AC23" s="145">
        <f t="shared" si="1"/>
        <v>0</v>
      </c>
      <c r="AE23" s="145">
        <f>SUM(AE8:AE22)</f>
        <v>1676</v>
      </c>
    </row>
    <row r="24" spans="2:31" ht="15.75" thickBot="1" x14ac:dyDescent="0.3">
      <c r="D24" s="1"/>
      <c r="E24" s="1"/>
      <c r="F24" s="1"/>
    </row>
    <row r="25" spans="2:31" ht="27.75" customHeight="1" thickBot="1" x14ac:dyDescent="0.3">
      <c r="B25" s="343" t="s">
        <v>4</v>
      </c>
      <c r="D25" s="347" t="s">
        <v>34</v>
      </c>
      <c r="E25" s="348"/>
      <c r="F25" s="348"/>
      <c r="G25" s="348"/>
      <c r="H25" s="348"/>
      <c r="I25" s="348"/>
      <c r="J25" s="348"/>
      <c r="K25" s="348"/>
      <c r="L25" s="348"/>
      <c r="M25" s="348"/>
      <c r="N25" s="348"/>
      <c r="O25" s="348"/>
      <c r="P25" s="348"/>
      <c r="Q25" s="348"/>
      <c r="R25" s="348"/>
      <c r="S25" s="348"/>
      <c r="T25" s="348"/>
      <c r="U25" s="348"/>
      <c r="V25" s="348"/>
      <c r="W25" s="348"/>
      <c r="X25" s="348"/>
      <c r="Y25" s="348"/>
      <c r="Z25" s="348"/>
      <c r="AA25" s="348"/>
      <c r="AB25" s="348"/>
      <c r="AC25" s="348"/>
      <c r="AD25" s="348"/>
    </row>
    <row r="26" spans="2:31" ht="25.5" customHeight="1" thickBot="1" x14ac:dyDescent="0.3">
      <c r="B26" s="344"/>
      <c r="D26" s="161">
        <v>44199</v>
      </c>
      <c r="E26" s="342">
        <v>44200</v>
      </c>
      <c r="F26" s="161">
        <v>44201</v>
      </c>
      <c r="G26" s="161">
        <v>44202</v>
      </c>
      <c r="H26" s="161">
        <v>44203</v>
      </c>
      <c r="I26" s="161">
        <v>44204</v>
      </c>
      <c r="J26" s="161">
        <v>44571</v>
      </c>
      <c r="K26" s="161">
        <v>44572</v>
      </c>
      <c r="L26" s="161">
        <v>44573</v>
      </c>
      <c r="M26" s="161">
        <v>44574</v>
      </c>
      <c r="N26" s="161">
        <v>44575</v>
      </c>
      <c r="O26" s="161">
        <v>44576</v>
      </c>
      <c r="P26" s="161">
        <v>44578</v>
      </c>
      <c r="Q26" s="161">
        <v>44579</v>
      </c>
      <c r="R26" s="161">
        <v>44580</v>
      </c>
      <c r="S26" s="161">
        <v>44581</v>
      </c>
      <c r="T26" s="161">
        <v>44582</v>
      </c>
      <c r="U26" s="161">
        <v>44583</v>
      </c>
      <c r="V26" s="161">
        <v>44585</v>
      </c>
      <c r="W26" s="161">
        <v>44586</v>
      </c>
      <c r="X26" s="161">
        <v>44587</v>
      </c>
      <c r="Y26" s="161">
        <v>44588</v>
      </c>
      <c r="Z26" s="161">
        <v>44589</v>
      </c>
      <c r="AA26" s="161">
        <v>44590</v>
      </c>
      <c r="AB26" s="161">
        <v>44592</v>
      </c>
      <c r="AC26" s="148">
        <v>44439</v>
      </c>
      <c r="AD26" s="135"/>
      <c r="AE26" s="136" t="s">
        <v>9</v>
      </c>
    </row>
    <row r="27" spans="2:31" x14ac:dyDescent="0.25">
      <c r="B27" s="139" t="s">
        <v>13</v>
      </c>
      <c r="C27" s="44"/>
      <c r="D27" s="162">
        <f>'03-01'!AM8</f>
        <v>0</v>
      </c>
      <c r="E27" s="341">
        <f>'04-01'!AM8</f>
        <v>0</v>
      </c>
      <c r="F27" s="140">
        <f>'05-01'!AM8</f>
        <v>0</v>
      </c>
      <c r="G27" s="140">
        <f>'06-01'!AM8</f>
        <v>1</v>
      </c>
      <c r="H27" s="140">
        <f>'07-01'!AM8</f>
        <v>0</v>
      </c>
      <c r="I27" s="325">
        <f>'08-01'!AM8</f>
        <v>0</v>
      </c>
      <c r="J27" s="328">
        <f>'10-01'!AM8</f>
        <v>0</v>
      </c>
      <c r="K27" s="329">
        <f>'11-01'!AM8</f>
        <v>0</v>
      </c>
      <c r="L27" s="329">
        <f>'12-01'!AM8</f>
        <v>0</v>
      </c>
      <c r="M27" s="329">
        <f>'13-01'!AM8</f>
        <v>0</v>
      </c>
      <c r="N27" s="329">
        <f>'14-01'!AM8</f>
        <v>0</v>
      </c>
      <c r="O27" s="325">
        <f>'15-01'!AM8</f>
        <v>0</v>
      </c>
      <c r="P27" s="162">
        <f>'17-01'!AM8</f>
        <v>0</v>
      </c>
      <c r="Q27" s="140">
        <f>'18-01'!AM8</f>
        <v>0</v>
      </c>
      <c r="R27" s="140">
        <f>'19-01'!AM8</f>
        <v>0</v>
      </c>
      <c r="S27" s="140">
        <f>'20-01'!AM8</f>
        <v>0</v>
      </c>
      <c r="T27" s="140">
        <f>'21-12'!AM8</f>
        <v>0</v>
      </c>
      <c r="U27" s="325">
        <f>'22-01'!AM8</f>
        <v>0</v>
      </c>
      <c r="V27" s="162">
        <f>'24-01'!AM8</f>
        <v>0</v>
      </c>
      <c r="W27" s="140">
        <f>'25-01'!AM8</f>
        <v>0</v>
      </c>
      <c r="X27" s="140">
        <f>'26-01'!AM8</f>
        <v>0</v>
      </c>
      <c r="Y27" s="140">
        <f>'27-01'!AM8</f>
        <v>0</v>
      </c>
      <c r="Z27" s="140">
        <f>'28-01'!AM8</f>
        <v>0</v>
      </c>
      <c r="AA27" s="322">
        <f>'29-01'!AM8</f>
        <v>0</v>
      </c>
      <c r="AB27" s="293">
        <f>'31-01'!AM8</f>
        <v>0</v>
      </c>
      <c r="AC27" s="293">
        <f>'31-08'!AM8</f>
        <v>0</v>
      </c>
      <c r="AD27" s="147"/>
      <c r="AE27" s="141">
        <f t="shared" ref="AE27:AE41" si="2">SUM(D27:AC27)</f>
        <v>1</v>
      </c>
    </row>
    <row r="28" spans="2:31" x14ac:dyDescent="0.25">
      <c r="B28" s="142" t="s">
        <v>14</v>
      </c>
      <c r="C28" s="44"/>
      <c r="D28" s="163">
        <f>'03-01'!AM9</f>
        <v>0</v>
      </c>
      <c r="E28" s="137">
        <f>'04-01'!AM9</f>
        <v>0</v>
      </c>
      <c r="F28" s="137">
        <f>'05-01'!AM9</f>
        <v>0</v>
      </c>
      <c r="G28" s="137">
        <f>'06-01'!AM9</f>
        <v>0</v>
      </c>
      <c r="H28" s="137">
        <f>'07-01'!AM9</f>
        <v>0</v>
      </c>
      <c r="I28" s="326">
        <f>'08-01'!AM9</f>
        <v>0</v>
      </c>
      <c r="J28" s="330">
        <f>'10-01'!AM9</f>
        <v>0</v>
      </c>
      <c r="K28" s="331">
        <f>'11-01'!AM9</f>
        <v>0</v>
      </c>
      <c r="L28" s="331">
        <f>'12-01'!AM9</f>
        <v>0</v>
      </c>
      <c r="M28" s="331">
        <f>'13-01'!AM9</f>
        <v>0</v>
      </c>
      <c r="N28" s="331">
        <f>'14-01'!AM9</f>
        <v>0</v>
      </c>
      <c r="O28" s="326">
        <f>'15-01'!AM9</f>
        <v>0</v>
      </c>
      <c r="P28" s="163">
        <f>'17-01'!AM9</f>
        <v>0</v>
      </c>
      <c r="Q28" s="137">
        <f>'18-01'!AM9</f>
        <v>0</v>
      </c>
      <c r="R28" s="137">
        <f>'19-01'!AM9</f>
        <v>0</v>
      </c>
      <c r="S28" s="137">
        <f>'20-01'!AM9</f>
        <v>0</v>
      </c>
      <c r="T28" s="137">
        <f>'21-12'!AM9</f>
        <v>0</v>
      </c>
      <c r="U28" s="326">
        <f>'22-01'!AM9</f>
        <v>0</v>
      </c>
      <c r="V28" s="163">
        <f>'24-01'!AM9</f>
        <v>0</v>
      </c>
      <c r="W28" s="137">
        <f>'25-01'!AM9</f>
        <v>0</v>
      </c>
      <c r="X28" s="137">
        <f>'26-01'!AM9</f>
        <v>0</v>
      </c>
      <c r="Y28" s="137">
        <f>'27-01'!AM9</f>
        <v>0</v>
      </c>
      <c r="Z28" s="137">
        <f>'28-01'!AM9</f>
        <v>0</v>
      </c>
      <c r="AA28" s="323">
        <f>'29-01'!AM9</f>
        <v>0</v>
      </c>
      <c r="AB28" s="294">
        <f>'31-01'!AM9</f>
        <v>0</v>
      </c>
      <c r="AC28" s="294">
        <f>'31-08'!AM9</f>
        <v>0</v>
      </c>
      <c r="AD28" s="147"/>
      <c r="AE28" s="143">
        <f t="shared" si="2"/>
        <v>0</v>
      </c>
    </row>
    <row r="29" spans="2:31" x14ac:dyDescent="0.25">
      <c r="B29" s="142" t="s">
        <v>16</v>
      </c>
      <c r="C29" s="44"/>
      <c r="D29" s="163">
        <f>'03-01'!AM10</f>
        <v>0</v>
      </c>
      <c r="E29" s="137">
        <f>'04-01'!AM10</f>
        <v>0</v>
      </c>
      <c r="F29" s="137">
        <f>'05-01'!AM10</f>
        <v>0</v>
      </c>
      <c r="G29" s="137">
        <f>'06-01'!AM10</f>
        <v>0</v>
      </c>
      <c r="H29" s="137">
        <f>'07-01'!AM10</f>
        <v>0</v>
      </c>
      <c r="I29" s="326">
        <f>'08-01'!AM10</f>
        <v>0</v>
      </c>
      <c r="J29" s="330">
        <f>'10-01'!AM10</f>
        <v>0</v>
      </c>
      <c r="K29" s="331">
        <f>'11-01'!AM10</f>
        <v>0</v>
      </c>
      <c r="L29" s="331">
        <f>'12-01'!AM10</f>
        <v>0</v>
      </c>
      <c r="M29" s="331">
        <f>'13-01'!AM10</f>
        <v>0</v>
      </c>
      <c r="N29" s="331">
        <f>'14-01'!AM10</f>
        <v>0</v>
      </c>
      <c r="O29" s="326">
        <f>'15-01'!AM10</f>
        <v>0</v>
      </c>
      <c r="P29" s="163">
        <f>'17-01'!AM10</f>
        <v>0</v>
      </c>
      <c r="Q29" s="137">
        <f>'18-01'!AM10</f>
        <v>0</v>
      </c>
      <c r="R29" s="137">
        <f>'19-01'!AM10</f>
        <v>0</v>
      </c>
      <c r="S29" s="137">
        <f>'20-01'!AM10</f>
        <v>0</v>
      </c>
      <c r="T29" s="137">
        <f>'21-12'!AM10</f>
        <v>0</v>
      </c>
      <c r="U29" s="326">
        <f>'22-01'!AM10</f>
        <v>0</v>
      </c>
      <c r="V29" s="163">
        <f>'24-01'!AM10</f>
        <v>0</v>
      </c>
      <c r="W29" s="137">
        <f>'25-01'!AM10</f>
        <v>0</v>
      </c>
      <c r="X29" s="137">
        <f>'26-01'!AM10</f>
        <v>0</v>
      </c>
      <c r="Y29" s="137">
        <f>'27-01'!AM10</f>
        <v>0</v>
      </c>
      <c r="Z29" s="137">
        <f>'28-01'!AM10</f>
        <v>0</v>
      </c>
      <c r="AA29" s="323">
        <f>'29-01'!AM10</f>
        <v>0</v>
      </c>
      <c r="AB29" s="294">
        <f>'31-01'!AM10</f>
        <v>0</v>
      </c>
      <c r="AC29" s="294">
        <f>'31-08'!AM11</f>
        <v>0</v>
      </c>
      <c r="AD29" s="147"/>
      <c r="AE29" s="143">
        <f t="shared" si="2"/>
        <v>0</v>
      </c>
    </row>
    <row r="30" spans="2:31" x14ac:dyDescent="0.25">
      <c r="B30" s="142" t="s">
        <v>17</v>
      </c>
      <c r="C30" s="70"/>
      <c r="D30" s="163">
        <f>'03-01'!AM11</f>
        <v>0</v>
      </c>
      <c r="E30" s="137">
        <f>'04-01'!AM11</f>
        <v>1</v>
      </c>
      <c r="F30" s="137">
        <f>'05-01'!AM11</f>
        <v>0</v>
      </c>
      <c r="G30" s="137">
        <f>'06-01'!AM11</f>
        <v>0</v>
      </c>
      <c r="H30" s="137">
        <f>'07-01'!AM11</f>
        <v>0</v>
      </c>
      <c r="I30" s="326">
        <f>'08-01'!AM11</f>
        <v>0</v>
      </c>
      <c r="J30" s="330">
        <f>'10-01'!AM11</f>
        <v>0</v>
      </c>
      <c r="K30" s="331">
        <f>'11-01'!AM11</f>
        <v>0</v>
      </c>
      <c r="L30" s="331">
        <f>'12-01'!AM11</f>
        <v>0</v>
      </c>
      <c r="M30" s="331">
        <f>'13-01'!AM11</f>
        <v>0</v>
      </c>
      <c r="N30" s="331">
        <f>'14-01'!AM11</f>
        <v>0</v>
      </c>
      <c r="O30" s="326">
        <f>'15-01'!AM11</f>
        <v>0</v>
      </c>
      <c r="P30" s="163">
        <f>'17-01'!AM11</f>
        <v>1</v>
      </c>
      <c r="Q30" s="137">
        <f>'18-01'!AM11</f>
        <v>0</v>
      </c>
      <c r="R30" s="137">
        <f>'19-01'!AM11</f>
        <v>0</v>
      </c>
      <c r="S30" s="137">
        <f>'20-01'!AM11</f>
        <v>0</v>
      </c>
      <c r="T30" s="137">
        <f>'21-12'!AM11</f>
        <v>1</v>
      </c>
      <c r="U30" s="326">
        <f>'22-01'!AM11</f>
        <v>1</v>
      </c>
      <c r="V30" s="163">
        <f>'24-01'!AM11</f>
        <v>0</v>
      </c>
      <c r="W30" s="137">
        <f>'25-01'!AM11</f>
        <v>0</v>
      </c>
      <c r="X30" s="137">
        <f>'26-01'!AM11</f>
        <v>2</v>
      </c>
      <c r="Y30" s="137">
        <f>'27-01'!AM11</f>
        <v>0</v>
      </c>
      <c r="Z30" s="137">
        <f>'28-01'!AM11</f>
        <v>0</v>
      </c>
      <c r="AA30" s="323">
        <f>'29-01'!AM11</f>
        <v>0</v>
      </c>
      <c r="AB30" s="294">
        <f>'31-01'!AM11</f>
        <v>0</v>
      </c>
      <c r="AC30" s="294">
        <f>'31-08'!AM12</f>
        <v>0</v>
      </c>
      <c r="AD30" s="147"/>
      <c r="AE30" s="143">
        <f t="shared" si="2"/>
        <v>6</v>
      </c>
    </row>
    <row r="31" spans="2:31" x14ac:dyDescent="0.25">
      <c r="B31" s="142" t="s">
        <v>18</v>
      </c>
      <c r="C31" s="71"/>
      <c r="D31" s="163">
        <f>'03-01'!AM12</f>
        <v>0</v>
      </c>
      <c r="E31" s="137">
        <f>'04-01'!AM12</f>
        <v>0</v>
      </c>
      <c r="F31" s="137">
        <f>'05-01'!AM12</f>
        <v>0</v>
      </c>
      <c r="G31" s="137">
        <f>'06-01'!AM12</f>
        <v>0</v>
      </c>
      <c r="H31" s="137">
        <f>'07-01'!AM12</f>
        <v>0</v>
      </c>
      <c r="I31" s="326">
        <f>'08-01'!AM12</f>
        <v>0</v>
      </c>
      <c r="J31" s="330">
        <f>'10-01'!AM12</f>
        <v>0</v>
      </c>
      <c r="K31" s="331">
        <f>'11-01'!AM12</f>
        <v>0</v>
      </c>
      <c r="L31" s="331">
        <f>'12-01'!AM12</f>
        <v>0</v>
      </c>
      <c r="M31" s="331">
        <f>'13-01'!AM12</f>
        <v>0</v>
      </c>
      <c r="N31" s="331">
        <f>'14-01'!AM12</f>
        <v>0</v>
      </c>
      <c r="O31" s="326">
        <f>'15-01'!AM12</f>
        <v>0</v>
      </c>
      <c r="P31" s="163">
        <f>'17-01'!AM12</f>
        <v>0</v>
      </c>
      <c r="Q31" s="137">
        <f>'18-01'!AM12</f>
        <v>0</v>
      </c>
      <c r="R31" s="137">
        <f>'19-01'!AM12</f>
        <v>0</v>
      </c>
      <c r="S31" s="137">
        <f>'20-01'!AM12</f>
        <v>0</v>
      </c>
      <c r="T31" s="137">
        <f>'21-12'!AM12</f>
        <v>0</v>
      </c>
      <c r="U31" s="326">
        <f>'22-01'!AM12</f>
        <v>0</v>
      </c>
      <c r="V31" s="163">
        <f>'24-01'!AM12</f>
        <v>0</v>
      </c>
      <c r="W31" s="137">
        <f>'25-01'!AM12</f>
        <v>0</v>
      </c>
      <c r="X31" s="137">
        <f>'26-01'!AM12</f>
        <v>0</v>
      </c>
      <c r="Y31" s="137">
        <f>'27-01'!AM12</f>
        <v>0</v>
      </c>
      <c r="Z31" s="137">
        <f>'28-01'!AM12</f>
        <v>0</v>
      </c>
      <c r="AA31" s="323">
        <f>'29-01'!AM12</f>
        <v>0</v>
      </c>
      <c r="AB31" s="294">
        <f>'31-01'!AM12</f>
        <v>0</v>
      </c>
      <c r="AC31" s="294">
        <f>'31-08'!AM13</f>
        <v>0</v>
      </c>
      <c r="AD31" s="147"/>
      <c r="AE31" s="143">
        <f t="shared" si="2"/>
        <v>0</v>
      </c>
    </row>
    <row r="32" spans="2:31" x14ac:dyDescent="0.25">
      <c r="B32" s="142" t="s">
        <v>19</v>
      </c>
      <c r="C32" s="70"/>
      <c r="D32" s="163">
        <f>'03-01'!AM13</f>
        <v>0</v>
      </c>
      <c r="E32" s="137">
        <f>'04-01'!AM13</f>
        <v>0</v>
      </c>
      <c r="F32" s="137">
        <f>'05-01'!AM13</f>
        <v>0</v>
      </c>
      <c r="G32" s="137">
        <f>'06-01'!AM13</f>
        <v>0</v>
      </c>
      <c r="H32" s="137">
        <f>'07-01'!AM13</f>
        <v>0</v>
      </c>
      <c r="I32" s="326">
        <f>'08-01'!AM13</f>
        <v>0</v>
      </c>
      <c r="J32" s="330">
        <f>'10-01'!AM13</f>
        <v>0</v>
      </c>
      <c r="K32" s="331">
        <f>'11-01'!AM13</f>
        <v>0</v>
      </c>
      <c r="L32" s="331">
        <f>'12-01'!AM13</f>
        <v>0</v>
      </c>
      <c r="M32" s="331">
        <f>'13-01'!AM13</f>
        <v>0</v>
      </c>
      <c r="N32" s="331">
        <f>'14-01'!AM13</f>
        <v>0</v>
      </c>
      <c r="O32" s="326">
        <f>'15-01'!AM13</f>
        <v>0</v>
      </c>
      <c r="P32" s="163">
        <f>'17-01'!AM13</f>
        <v>0</v>
      </c>
      <c r="Q32" s="137">
        <f>'18-01'!AM13</f>
        <v>0</v>
      </c>
      <c r="R32" s="137">
        <f>'19-01'!AM13</f>
        <v>0</v>
      </c>
      <c r="S32" s="137">
        <f>'20-01'!AM13</f>
        <v>0</v>
      </c>
      <c r="T32" s="137">
        <f>'21-12'!AM13</f>
        <v>0</v>
      </c>
      <c r="U32" s="326">
        <f>'22-01'!AM13</f>
        <v>0</v>
      </c>
      <c r="V32" s="163">
        <f>'24-01'!AM13</f>
        <v>0</v>
      </c>
      <c r="W32" s="137">
        <f>'25-01'!AM13</f>
        <v>0</v>
      </c>
      <c r="X32" s="137">
        <f>'26-01'!AM13</f>
        <v>0</v>
      </c>
      <c r="Y32" s="137">
        <f>'27-01'!AM13</f>
        <v>0</v>
      </c>
      <c r="Z32" s="137">
        <f>'28-01'!AM13</f>
        <v>0</v>
      </c>
      <c r="AA32" s="323">
        <f>'29-01'!AM13</f>
        <v>0</v>
      </c>
      <c r="AB32" s="294">
        <f>'31-01'!AM13</f>
        <v>0</v>
      </c>
      <c r="AC32" s="294">
        <f>'31-08'!AM14</f>
        <v>0</v>
      </c>
      <c r="AD32" s="147"/>
      <c r="AE32" s="143">
        <f t="shared" si="2"/>
        <v>0</v>
      </c>
    </row>
    <row r="33" spans="2:31" x14ac:dyDescent="0.25">
      <c r="B33" s="142" t="s">
        <v>20</v>
      </c>
      <c r="C33" s="70"/>
      <c r="D33" s="163">
        <f>'03-01'!AM14</f>
        <v>0</v>
      </c>
      <c r="E33" s="137">
        <f>'04-01'!AM14</f>
        <v>0</v>
      </c>
      <c r="F33" s="137">
        <f>'05-01'!AM14</f>
        <v>0</v>
      </c>
      <c r="G33" s="137">
        <f>'06-01'!AM14</f>
        <v>0</v>
      </c>
      <c r="H33" s="137">
        <f>'07-01'!AM14</f>
        <v>0</v>
      </c>
      <c r="I33" s="326">
        <f>'08-01'!AM14</f>
        <v>0</v>
      </c>
      <c r="J33" s="330">
        <f>'10-01'!AM14</f>
        <v>0</v>
      </c>
      <c r="K33" s="331">
        <f>'11-01'!AM14</f>
        <v>0</v>
      </c>
      <c r="L33" s="331">
        <f>'12-01'!AM14</f>
        <v>0</v>
      </c>
      <c r="M33" s="331">
        <f>'13-01'!AM14</f>
        <v>0</v>
      </c>
      <c r="N33" s="331">
        <f>'14-01'!AM14</f>
        <v>0</v>
      </c>
      <c r="O33" s="326">
        <f>'15-01'!AM14</f>
        <v>0</v>
      </c>
      <c r="P33" s="163">
        <f>'17-01'!AM14</f>
        <v>0</v>
      </c>
      <c r="Q33" s="137">
        <f>'18-01'!AM14</f>
        <v>0</v>
      </c>
      <c r="R33" s="137">
        <f>'19-01'!AM14</f>
        <v>0</v>
      </c>
      <c r="S33" s="137">
        <f>'20-01'!AM14</f>
        <v>0</v>
      </c>
      <c r="T33" s="137">
        <f>'21-12'!AM14</f>
        <v>0</v>
      </c>
      <c r="U33" s="326">
        <f>'22-01'!AM14</f>
        <v>0</v>
      </c>
      <c r="V33" s="163">
        <f>'24-01'!AM14</f>
        <v>0</v>
      </c>
      <c r="W33" s="137">
        <f>'25-01'!AM14</f>
        <v>0</v>
      </c>
      <c r="X33" s="137">
        <f>'26-01'!AM14</f>
        <v>0</v>
      </c>
      <c r="Y33" s="137">
        <f>'27-01'!AM14</f>
        <v>0</v>
      </c>
      <c r="Z33" s="137">
        <f>'28-01'!AM14</f>
        <v>0</v>
      </c>
      <c r="AA33" s="323">
        <f>'29-01'!AM14</f>
        <v>0</v>
      </c>
      <c r="AB33" s="294">
        <f>'31-01'!AM14</f>
        <v>0</v>
      </c>
      <c r="AC33" s="294">
        <f>'31-08'!AM15</f>
        <v>0</v>
      </c>
      <c r="AD33" s="147"/>
      <c r="AE33" s="143">
        <f t="shared" si="2"/>
        <v>0</v>
      </c>
    </row>
    <row r="34" spans="2:31" x14ac:dyDescent="0.25">
      <c r="B34" s="142" t="s">
        <v>21</v>
      </c>
      <c r="C34" s="70"/>
      <c r="D34" s="163">
        <f>'03-01'!AM15</f>
        <v>0</v>
      </c>
      <c r="E34" s="137">
        <f>'04-01'!AM15</f>
        <v>0</v>
      </c>
      <c r="F34" s="137">
        <f>'05-01'!AM15</f>
        <v>0</v>
      </c>
      <c r="G34" s="137">
        <f>'06-01'!AM15</f>
        <v>0</v>
      </c>
      <c r="H34" s="137">
        <f>'07-01'!AM15</f>
        <v>0</v>
      </c>
      <c r="I34" s="326">
        <f>'08-01'!AM15</f>
        <v>0</v>
      </c>
      <c r="J34" s="330">
        <f>'10-01'!AM15</f>
        <v>0</v>
      </c>
      <c r="K34" s="331">
        <f>'11-01'!AM15</f>
        <v>0</v>
      </c>
      <c r="L34" s="331">
        <f>'12-01'!AM15</f>
        <v>0</v>
      </c>
      <c r="M34" s="331">
        <f>'13-01'!AM15</f>
        <v>0</v>
      </c>
      <c r="N34" s="331">
        <f>'14-01'!AM15</f>
        <v>0</v>
      </c>
      <c r="O34" s="326">
        <f>'15-01'!AM15</f>
        <v>0</v>
      </c>
      <c r="P34" s="163">
        <f>'17-01'!AM15</f>
        <v>0</v>
      </c>
      <c r="Q34" s="137">
        <f>'18-01'!AM15</f>
        <v>0</v>
      </c>
      <c r="R34" s="137">
        <f>'19-01'!AM15</f>
        <v>0</v>
      </c>
      <c r="S34" s="137">
        <f>'20-01'!AM15</f>
        <v>0</v>
      </c>
      <c r="T34" s="137">
        <f>'21-12'!AM15</f>
        <v>0</v>
      </c>
      <c r="U34" s="326">
        <f>'22-01'!AM15</f>
        <v>0</v>
      </c>
      <c r="V34" s="163">
        <f>'24-01'!AM15</f>
        <v>0</v>
      </c>
      <c r="W34" s="137">
        <f>'25-01'!AM15</f>
        <v>0</v>
      </c>
      <c r="X34" s="137">
        <f>'26-01'!AM15</f>
        <v>0</v>
      </c>
      <c r="Y34" s="137">
        <f>'27-01'!AM15</f>
        <v>0</v>
      </c>
      <c r="Z34" s="137">
        <f>'28-01'!AM15</f>
        <v>0</v>
      </c>
      <c r="AA34" s="323">
        <f>'29-01'!AM15</f>
        <v>0</v>
      </c>
      <c r="AB34" s="294">
        <f>'31-01'!AM15</f>
        <v>0</v>
      </c>
      <c r="AC34" s="294">
        <f>'31-08'!AM16</f>
        <v>0</v>
      </c>
      <c r="AD34" s="147"/>
      <c r="AE34" s="143">
        <f t="shared" si="2"/>
        <v>0</v>
      </c>
    </row>
    <row r="35" spans="2:31" x14ac:dyDescent="0.25">
      <c r="B35" s="46" t="s">
        <v>33</v>
      </c>
      <c r="C35" s="70"/>
      <c r="D35" s="163">
        <f>'03-01'!AM16</f>
        <v>0</v>
      </c>
      <c r="E35" s="137">
        <f>'04-01'!AM16</f>
        <v>0</v>
      </c>
      <c r="F35" s="137">
        <f>'05-01'!AM16</f>
        <v>0</v>
      </c>
      <c r="G35" s="137">
        <f>'06-01'!AM16</f>
        <v>0</v>
      </c>
      <c r="H35" s="137">
        <f>'07-01'!AM16</f>
        <v>0</v>
      </c>
      <c r="I35" s="326">
        <f>'08-01'!AM16</f>
        <v>0</v>
      </c>
      <c r="J35" s="330">
        <f>'10-01'!AM16</f>
        <v>0</v>
      </c>
      <c r="K35" s="331">
        <f>'11-01'!AM16</f>
        <v>0</v>
      </c>
      <c r="L35" s="331">
        <f>'12-01'!AM16</f>
        <v>0</v>
      </c>
      <c r="M35" s="331">
        <f>'13-01'!AM16</f>
        <v>0</v>
      </c>
      <c r="N35" s="331">
        <f>'14-01'!AM16</f>
        <v>0</v>
      </c>
      <c r="O35" s="326">
        <f>'15-01'!AM16</f>
        <v>0</v>
      </c>
      <c r="P35" s="163">
        <f>'17-01'!AM16</f>
        <v>0</v>
      </c>
      <c r="Q35" s="137">
        <f>'18-01'!AM16</f>
        <v>0</v>
      </c>
      <c r="R35" s="137">
        <f>'19-01'!AM16</f>
        <v>0</v>
      </c>
      <c r="S35" s="137">
        <f>'20-01'!AM16</f>
        <v>0</v>
      </c>
      <c r="T35" s="137">
        <f>'21-12'!AM16</f>
        <v>0</v>
      </c>
      <c r="U35" s="326">
        <f>'22-01'!AM16</f>
        <v>0</v>
      </c>
      <c r="V35" s="163">
        <f>'24-01'!AM16</f>
        <v>0</v>
      </c>
      <c r="W35" s="137">
        <f>'25-01'!AM16</f>
        <v>0</v>
      </c>
      <c r="X35" s="137">
        <f>'26-01'!AM16</f>
        <v>0</v>
      </c>
      <c r="Y35" s="137">
        <f>'27-01'!AM16</f>
        <v>0</v>
      </c>
      <c r="Z35" s="137">
        <f>'28-01'!AM16</f>
        <v>0</v>
      </c>
      <c r="AA35" s="323">
        <f>'29-01'!AM16</f>
        <v>0</v>
      </c>
      <c r="AB35" s="294">
        <f>'31-01'!AM16</f>
        <v>0</v>
      </c>
      <c r="AC35" s="294">
        <f>'31-08'!AM18</f>
        <v>0</v>
      </c>
      <c r="AD35" s="147"/>
      <c r="AE35" s="143">
        <f t="shared" si="2"/>
        <v>0</v>
      </c>
    </row>
    <row r="36" spans="2:31" x14ac:dyDescent="0.25">
      <c r="B36" s="142" t="s">
        <v>23</v>
      </c>
      <c r="C36" s="70"/>
      <c r="D36" s="163">
        <f>'03-01'!AM17</f>
        <v>0</v>
      </c>
      <c r="E36" s="137">
        <f>'04-01'!AM17</f>
        <v>0</v>
      </c>
      <c r="F36" s="137">
        <f>'05-01'!AM17</f>
        <v>0</v>
      </c>
      <c r="G36" s="137">
        <f>'06-01'!AM17</f>
        <v>0</v>
      </c>
      <c r="H36" s="137">
        <f>'07-01'!AM17</f>
        <v>0</v>
      </c>
      <c r="I36" s="326">
        <f>'08-01'!AM17</f>
        <v>0</v>
      </c>
      <c r="J36" s="330">
        <f>'10-01'!AM17</f>
        <v>0</v>
      </c>
      <c r="K36" s="331">
        <f>'11-01'!AM17</f>
        <v>0</v>
      </c>
      <c r="L36" s="331">
        <f>'12-01'!AM17</f>
        <v>0</v>
      </c>
      <c r="M36" s="331">
        <f>'13-01'!AM17</f>
        <v>0</v>
      </c>
      <c r="N36" s="331">
        <f>'14-01'!AM17</f>
        <v>0</v>
      </c>
      <c r="O36" s="326">
        <f>'15-01'!AM17</f>
        <v>0</v>
      </c>
      <c r="P36" s="163">
        <f>'17-01'!AM17</f>
        <v>0</v>
      </c>
      <c r="Q36" s="137">
        <f>'18-01'!AM17</f>
        <v>0</v>
      </c>
      <c r="R36" s="137">
        <f>'19-01'!AM17</f>
        <v>0</v>
      </c>
      <c r="S36" s="137">
        <f>'20-01'!AM17</f>
        <v>0</v>
      </c>
      <c r="T36" s="137">
        <f>'21-12'!AM17</f>
        <v>0</v>
      </c>
      <c r="U36" s="326">
        <f>'22-01'!AM17</f>
        <v>0</v>
      </c>
      <c r="V36" s="163">
        <f>'24-01'!AM17</f>
        <v>0</v>
      </c>
      <c r="W36" s="137">
        <f>'25-01'!AM17</f>
        <v>0</v>
      </c>
      <c r="X36" s="137">
        <f>'26-01'!AM17</f>
        <v>0</v>
      </c>
      <c r="Y36" s="137">
        <f>'27-01'!AM17</f>
        <v>0</v>
      </c>
      <c r="Z36" s="137">
        <f>'28-01'!AM17</f>
        <v>0</v>
      </c>
      <c r="AA36" s="323">
        <f>'29-01'!AM17</f>
        <v>0</v>
      </c>
      <c r="AB36" s="294">
        <f>'31-01'!AM17</f>
        <v>0</v>
      </c>
      <c r="AC36" s="294">
        <f>'31-08'!AM19</f>
        <v>0</v>
      </c>
      <c r="AD36" s="147"/>
      <c r="AE36" s="143">
        <f t="shared" si="2"/>
        <v>0</v>
      </c>
    </row>
    <row r="37" spans="2:31" x14ac:dyDescent="0.25">
      <c r="B37" s="142" t="s">
        <v>24</v>
      </c>
      <c r="C37" s="70"/>
      <c r="D37" s="163">
        <f>'03-01'!AM18</f>
        <v>0</v>
      </c>
      <c r="E37" s="137">
        <f>'04-01'!AM18</f>
        <v>0</v>
      </c>
      <c r="F37" s="137">
        <f>'05-01'!AM18</f>
        <v>0</v>
      </c>
      <c r="G37" s="137">
        <f>'06-01'!AM18</f>
        <v>0</v>
      </c>
      <c r="H37" s="137">
        <f>'07-01'!AM18</f>
        <v>0</v>
      </c>
      <c r="I37" s="326">
        <f>'08-01'!AM18</f>
        <v>0</v>
      </c>
      <c r="J37" s="330">
        <f>'10-01'!AM18</f>
        <v>0</v>
      </c>
      <c r="K37" s="331">
        <f>'11-01'!AM18</f>
        <v>0</v>
      </c>
      <c r="L37" s="331">
        <f>'12-01'!AM18</f>
        <v>0</v>
      </c>
      <c r="M37" s="331">
        <f>'13-01'!AM18</f>
        <v>0</v>
      </c>
      <c r="N37" s="331">
        <f>'14-01'!AM18</f>
        <v>0</v>
      </c>
      <c r="O37" s="326">
        <f>'15-01'!AM18</f>
        <v>0</v>
      </c>
      <c r="P37" s="163">
        <f>'17-01'!AM18</f>
        <v>0</v>
      </c>
      <c r="Q37" s="137">
        <f>'18-01'!AM18</f>
        <v>0</v>
      </c>
      <c r="R37" s="137">
        <f>'19-01'!AM18</f>
        <v>0</v>
      </c>
      <c r="S37" s="137">
        <f>'20-01'!AM18</f>
        <v>0</v>
      </c>
      <c r="T37" s="137">
        <f>'21-12'!AM18</f>
        <v>0</v>
      </c>
      <c r="U37" s="326">
        <f>'22-01'!AM18</f>
        <v>0</v>
      </c>
      <c r="V37" s="163">
        <f>'24-01'!AM18</f>
        <v>0</v>
      </c>
      <c r="W37" s="137">
        <f>'25-01'!AM18</f>
        <v>0</v>
      </c>
      <c r="X37" s="137">
        <f>'26-01'!AM18</f>
        <v>0</v>
      </c>
      <c r="Y37" s="137">
        <f>'27-01'!AM18</f>
        <v>0</v>
      </c>
      <c r="Z37" s="137">
        <f>'28-01'!AM18</f>
        <v>0</v>
      </c>
      <c r="AA37" s="323">
        <f>'29-01'!AM18</f>
        <v>0</v>
      </c>
      <c r="AB37" s="294">
        <f>'31-01'!AM18</f>
        <v>0</v>
      </c>
      <c r="AC37" s="294">
        <f>'31-08'!AM20</f>
        <v>0</v>
      </c>
      <c r="AD37" s="147"/>
      <c r="AE37" s="143">
        <f t="shared" si="2"/>
        <v>0</v>
      </c>
    </row>
    <row r="38" spans="2:31" x14ac:dyDescent="0.25">
      <c r="B38" s="142" t="s">
        <v>0</v>
      </c>
      <c r="C38" s="70"/>
      <c r="D38" s="163">
        <f>'03-01'!AM19</f>
        <v>0</v>
      </c>
      <c r="E38" s="137">
        <f>'04-01'!AM19</f>
        <v>0</v>
      </c>
      <c r="F38" s="137">
        <f>'05-01'!AM19</f>
        <v>0</v>
      </c>
      <c r="G38" s="137">
        <f>'06-01'!AM19</f>
        <v>1</v>
      </c>
      <c r="H38" s="137">
        <f>'07-01'!AM19</f>
        <v>0</v>
      </c>
      <c r="I38" s="326">
        <f>'08-01'!AM19</f>
        <v>0</v>
      </c>
      <c r="J38" s="330">
        <f>'10-01'!AM19</f>
        <v>0</v>
      </c>
      <c r="K38" s="331">
        <f>'11-01'!AM19</f>
        <v>0</v>
      </c>
      <c r="L38" s="331">
        <f>'12-01'!AM19</f>
        <v>0</v>
      </c>
      <c r="M38" s="331">
        <f>'13-01'!AM19</f>
        <v>0</v>
      </c>
      <c r="N38" s="331">
        <f>'14-01'!AM19</f>
        <v>0</v>
      </c>
      <c r="O38" s="326">
        <f>'15-01'!AM19</f>
        <v>0</v>
      </c>
      <c r="P38" s="163">
        <f>'17-01'!AM19</f>
        <v>0</v>
      </c>
      <c r="Q38" s="137">
        <f>'18-01'!AM19</f>
        <v>0</v>
      </c>
      <c r="R38" s="137">
        <f>'19-01'!AM19</f>
        <v>0</v>
      </c>
      <c r="S38" s="137">
        <f>'20-01'!AM19</f>
        <v>0</v>
      </c>
      <c r="T38" s="137">
        <f>'21-12'!AM19</f>
        <v>0</v>
      </c>
      <c r="U38" s="326">
        <f>'22-01'!AM19</f>
        <v>0</v>
      </c>
      <c r="V38" s="163">
        <f>'24-01'!AM19</f>
        <v>0</v>
      </c>
      <c r="W38" s="137">
        <f>'25-01'!AM19</f>
        <v>0</v>
      </c>
      <c r="X38" s="137">
        <f>'26-01'!AM19</f>
        <v>0</v>
      </c>
      <c r="Y38" s="137">
        <f>'27-01'!AM19</f>
        <v>0</v>
      </c>
      <c r="Z38" s="137">
        <f>'28-01'!AM19</f>
        <v>0</v>
      </c>
      <c r="AA38" s="323">
        <f>'29-01'!AM19</f>
        <v>0</v>
      </c>
      <c r="AB38" s="294">
        <f>'31-01'!AM19</f>
        <v>0</v>
      </c>
      <c r="AC38" s="294">
        <f>'31-08'!AM21</f>
        <v>0</v>
      </c>
      <c r="AD38" s="147"/>
      <c r="AE38" s="143">
        <f t="shared" si="2"/>
        <v>1</v>
      </c>
    </row>
    <row r="39" spans="2:31" x14ac:dyDescent="0.25">
      <c r="B39" s="142" t="s">
        <v>0</v>
      </c>
      <c r="C39" s="70"/>
      <c r="D39" s="163">
        <f>'03-01'!AM20</f>
        <v>0</v>
      </c>
      <c r="E39" s="137">
        <f>'04-01'!AM20</f>
        <v>0</v>
      </c>
      <c r="F39" s="137">
        <f>'05-01'!AM20</f>
        <v>0</v>
      </c>
      <c r="G39" s="137">
        <f>'06-01'!AM20</f>
        <v>0</v>
      </c>
      <c r="H39" s="137">
        <f>'07-01'!AM20</f>
        <v>0</v>
      </c>
      <c r="I39" s="326">
        <f>'08-01'!AM20</f>
        <v>0</v>
      </c>
      <c r="J39" s="330">
        <f>'10-01'!AM20</f>
        <v>0</v>
      </c>
      <c r="K39" s="331">
        <f>'11-01'!AM20</f>
        <v>0</v>
      </c>
      <c r="L39" s="331">
        <f>'12-01'!AM20</f>
        <v>0</v>
      </c>
      <c r="M39" s="331">
        <f>'13-01'!AM20</f>
        <v>0</v>
      </c>
      <c r="N39" s="331">
        <f>'14-01'!AM20</f>
        <v>0</v>
      </c>
      <c r="O39" s="326">
        <f>'15-01'!AM20</f>
        <v>0</v>
      </c>
      <c r="P39" s="163">
        <f>'17-01'!AM20</f>
        <v>0</v>
      </c>
      <c r="Q39" s="137">
        <f>'18-01'!AM20</f>
        <v>0</v>
      </c>
      <c r="R39" s="137">
        <f>'19-01'!AM20</f>
        <v>0</v>
      </c>
      <c r="S39" s="137">
        <f>'20-01'!AM20</f>
        <v>0</v>
      </c>
      <c r="T39" s="137">
        <f>'21-12'!AM20</f>
        <v>0</v>
      </c>
      <c r="U39" s="326">
        <f>'22-01'!AM20</f>
        <v>0</v>
      </c>
      <c r="V39" s="163">
        <f>'24-01'!AM20</f>
        <v>0</v>
      </c>
      <c r="W39" s="137">
        <f>'25-01'!AM20</f>
        <v>0</v>
      </c>
      <c r="X39" s="137">
        <f>'26-01'!AM20</f>
        <v>0</v>
      </c>
      <c r="Y39" s="137">
        <f>'27-01'!AM20</f>
        <v>0</v>
      </c>
      <c r="Z39" s="137">
        <f>'28-01'!AM20</f>
        <v>0</v>
      </c>
      <c r="AA39" s="323">
        <f>'29-01'!AM20</f>
        <v>0</v>
      </c>
      <c r="AB39" s="294">
        <f>'31-01'!AM20</f>
        <v>0</v>
      </c>
      <c r="AC39" s="294">
        <f>'31-08'!AM22</f>
        <v>0</v>
      </c>
      <c r="AD39" s="147"/>
      <c r="AE39" s="143">
        <f t="shared" si="2"/>
        <v>0</v>
      </c>
    </row>
    <row r="40" spans="2:31" x14ac:dyDescent="0.25">
      <c r="B40" s="142" t="s">
        <v>28</v>
      </c>
      <c r="C40" s="70"/>
      <c r="D40" s="163">
        <f>'03-01'!AM21</f>
        <v>0</v>
      </c>
      <c r="E40" s="137">
        <f>'04-01'!AM21</f>
        <v>0</v>
      </c>
      <c r="F40" s="137">
        <f>'05-01'!AM21</f>
        <v>0</v>
      </c>
      <c r="G40" s="137">
        <f>'06-01'!AM21</f>
        <v>0</v>
      </c>
      <c r="H40" s="137">
        <f>'07-01'!AM21</f>
        <v>0</v>
      </c>
      <c r="I40" s="326">
        <f>'08-01'!AM21</f>
        <v>0</v>
      </c>
      <c r="J40" s="330">
        <f>'10-01'!AM21</f>
        <v>0</v>
      </c>
      <c r="K40" s="331">
        <f>'11-01'!AM21</f>
        <v>0</v>
      </c>
      <c r="L40" s="331">
        <f>'12-01'!AM21</f>
        <v>0</v>
      </c>
      <c r="M40" s="331">
        <f>'13-01'!AM21</f>
        <v>0</v>
      </c>
      <c r="N40" s="331">
        <f>'14-01'!AM21</f>
        <v>0</v>
      </c>
      <c r="O40" s="326">
        <f>'15-01'!AM21</f>
        <v>0</v>
      </c>
      <c r="P40" s="163">
        <f>'17-01'!AM21</f>
        <v>0</v>
      </c>
      <c r="Q40" s="137">
        <f>'18-01'!AM21</f>
        <v>0</v>
      </c>
      <c r="R40" s="137">
        <f>'19-01'!AM21</f>
        <v>0</v>
      </c>
      <c r="S40" s="137">
        <f>'20-01'!AM21</f>
        <v>0</v>
      </c>
      <c r="T40" s="137">
        <f>'21-12'!AM21</f>
        <v>0</v>
      </c>
      <c r="U40" s="326">
        <f>'22-01'!AM21</f>
        <v>0</v>
      </c>
      <c r="V40" s="163">
        <f>'24-01'!AM21</f>
        <v>0</v>
      </c>
      <c r="W40" s="137">
        <f>'25-01'!AM21</f>
        <v>0</v>
      </c>
      <c r="X40" s="137">
        <f>'26-01'!AM21</f>
        <v>0</v>
      </c>
      <c r="Y40" s="137">
        <f>'27-01'!AM21</f>
        <v>0</v>
      </c>
      <c r="Z40" s="137">
        <f>'28-01'!AM21</f>
        <v>0</v>
      </c>
      <c r="AA40" s="323">
        <f>'29-01'!AM21</f>
        <v>0</v>
      </c>
      <c r="AB40" s="294">
        <f>'31-01'!AM21</f>
        <v>0</v>
      </c>
      <c r="AC40" s="294">
        <f>'31-08'!AM24</f>
        <v>0</v>
      </c>
      <c r="AD40" s="147"/>
      <c r="AE40" s="143">
        <f t="shared" si="2"/>
        <v>0</v>
      </c>
    </row>
    <row r="41" spans="2:31" ht="15.75" thickBot="1" x14ac:dyDescent="0.3">
      <c r="B41" s="144" t="s">
        <v>29</v>
      </c>
      <c r="C41" s="70"/>
      <c r="D41" s="164">
        <f>'03-01'!AM22</f>
        <v>0</v>
      </c>
      <c r="E41" s="138">
        <f>'04-01'!AM22</f>
        <v>0</v>
      </c>
      <c r="F41" s="138">
        <f>'05-01'!AM22</f>
        <v>0</v>
      </c>
      <c r="G41" s="138">
        <f>'06-01'!AM22</f>
        <v>0</v>
      </c>
      <c r="H41" s="138">
        <f>'07-01'!AM22</f>
        <v>0</v>
      </c>
      <c r="I41" s="327">
        <f>'08-01'!AM22</f>
        <v>0</v>
      </c>
      <c r="J41" s="332">
        <f>'10-01'!AM22</f>
        <v>0</v>
      </c>
      <c r="K41" s="333">
        <f>'11-01'!AM22</f>
        <v>0</v>
      </c>
      <c r="L41" s="333">
        <f>'12-01'!AM22</f>
        <v>0</v>
      </c>
      <c r="M41" s="333">
        <f>'13-01'!AM22</f>
        <v>0</v>
      </c>
      <c r="N41" s="333">
        <f>'14-01'!AM22</f>
        <v>0</v>
      </c>
      <c r="O41" s="327">
        <f>'15-01'!AM22</f>
        <v>0</v>
      </c>
      <c r="P41" s="164">
        <f>'17-01'!AM22</f>
        <v>0</v>
      </c>
      <c r="Q41" s="138">
        <f>'18-01'!AM22</f>
        <v>0</v>
      </c>
      <c r="R41" s="138">
        <f>'19-01'!AM22</f>
        <v>0</v>
      </c>
      <c r="S41" s="138">
        <f>'20-01'!AM22</f>
        <v>0</v>
      </c>
      <c r="T41" s="138">
        <f>'21-12'!AM22</f>
        <v>0</v>
      </c>
      <c r="U41" s="327">
        <f>'22-01'!AM22</f>
        <v>0</v>
      </c>
      <c r="V41" s="164">
        <f>'24-01'!AM22</f>
        <v>0</v>
      </c>
      <c r="W41" s="138">
        <f>'25-01'!AM22</f>
        <v>0</v>
      </c>
      <c r="X41" s="138">
        <f>'26-01'!AM22</f>
        <v>0</v>
      </c>
      <c r="Y41" s="138">
        <f>'27-01'!AM22</f>
        <v>0</v>
      </c>
      <c r="Z41" s="138">
        <f>'28-01'!AM22</f>
        <v>0</v>
      </c>
      <c r="AA41" s="324">
        <f>'29-01'!AM22</f>
        <v>0</v>
      </c>
      <c r="AB41" s="295">
        <f>'31-01'!AM22</f>
        <v>0</v>
      </c>
      <c r="AC41" s="295">
        <f>'31-08'!AM25</f>
        <v>0</v>
      </c>
      <c r="AD41" s="147"/>
      <c r="AE41" s="160">
        <f t="shared" si="2"/>
        <v>0</v>
      </c>
    </row>
    <row r="42" spans="2:31" x14ac:dyDescent="0.25">
      <c r="C42" s="70"/>
      <c r="D42" s="145">
        <f t="shared" ref="D42:AC42" si="3">SUM(D27:D41)</f>
        <v>0</v>
      </c>
      <c r="E42" s="145">
        <f t="shared" si="3"/>
        <v>1</v>
      </c>
      <c r="F42" s="145">
        <f t="shared" si="3"/>
        <v>0</v>
      </c>
      <c r="G42" s="145">
        <f t="shared" si="3"/>
        <v>2</v>
      </c>
      <c r="H42" s="145">
        <f t="shared" si="3"/>
        <v>0</v>
      </c>
      <c r="I42" s="145">
        <f t="shared" si="3"/>
        <v>0</v>
      </c>
      <c r="J42" s="145">
        <f t="shared" si="3"/>
        <v>0</v>
      </c>
      <c r="K42" s="145">
        <f t="shared" si="3"/>
        <v>0</v>
      </c>
      <c r="L42" s="145">
        <f t="shared" si="3"/>
        <v>0</v>
      </c>
      <c r="M42" s="145">
        <f t="shared" si="3"/>
        <v>0</v>
      </c>
      <c r="N42" s="145">
        <f t="shared" si="3"/>
        <v>0</v>
      </c>
      <c r="O42" s="145">
        <f t="shared" si="3"/>
        <v>0</v>
      </c>
      <c r="P42" s="145">
        <f t="shared" si="3"/>
        <v>1</v>
      </c>
      <c r="Q42" s="145">
        <f t="shared" si="3"/>
        <v>0</v>
      </c>
      <c r="R42" s="145">
        <f t="shared" si="3"/>
        <v>0</v>
      </c>
      <c r="S42" s="145">
        <f t="shared" si="3"/>
        <v>0</v>
      </c>
      <c r="T42" s="145">
        <f t="shared" si="3"/>
        <v>1</v>
      </c>
      <c r="U42" s="145">
        <f t="shared" si="3"/>
        <v>1</v>
      </c>
      <c r="V42" s="145">
        <f t="shared" si="3"/>
        <v>0</v>
      </c>
      <c r="W42" s="145">
        <f t="shared" si="3"/>
        <v>0</v>
      </c>
      <c r="X42" s="145">
        <f t="shared" si="3"/>
        <v>2</v>
      </c>
      <c r="Y42" s="145">
        <f t="shared" si="3"/>
        <v>0</v>
      </c>
      <c r="Z42" s="145">
        <f t="shared" si="3"/>
        <v>0</v>
      </c>
      <c r="AA42" s="145">
        <f t="shared" si="3"/>
        <v>0</v>
      </c>
      <c r="AB42" s="145">
        <f t="shared" si="3"/>
        <v>0</v>
      </c>
      <c r="AC42" s="145">
        <f t="shared" si="3"/>
        <v>0</v>
      </c>
      <c r="AE42" s="145">
        <f>SUM(AE27:AE41)</f>
        <v>8</v>
      </c>
    </row>
  </sheetData>
  <mergeCells count="4">
    <mergeCell ref="B6:B7"/>
    <mergeCell ref="D6:AD6"/>
    <mergeCell ref="B25:B26"/>
    <mergeCell ref="D25:AD25"/>
  </mergeCells>
  <pageMargins left="0.39370078740157483" right="0.39370078740157483" top="0.19685039370078741" bottom="0.19685039370078741" header="0" footer="0"/>
  <pageSetup paperSize="9" scale="77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">
    <pageSetUpPr fitToPage="1"/>
  </sheetPr>
  <dimension ref="A1:AO43"/>
  <sheetViews>
    <sheetView zoomScaleNormal="100" workbookViewId="0">
      <pane xSplit="3" topLeftCell="D1" activePane="topRight" state="frozen"/>
      <selection activeCell="G33" sqref="G33"/>
      <selection pane="topRight" activeCell="AE39" sqref="B2:AE39"/>
    </sheetView>
  </sheetViews>
  <sheetFormatPr baseColWidth="10" defaultRowHeight="15" x14ac:dyDescent="0.25"/>
  <cols>
    <col min="1" max="1" width="1.7109375" style="1" customWidth="1"/>
    <col min="2" max="2" width="10" style="1" customWidth="1"/>
    <col min="3" max="3" width="29.140625" style="1" customWidth="1"/>
    <col min="4" max="4" width="5.7109375" style="1" customWidth="1"/>
    <col min="5" max="5" width="10.7109375" style="1" customWidth="1"/>
    <col min="6" max="6" width="5.7109375" style="1" customWidth="1"/>
    <col min="7" max="7" width="10.7109375" style="1" customWidth="1"/>
    <col min="8" max="8" width="5.7109375" style="1" customWidth="1"/>
    <col min="9" max="9" width="10.7109375" style="1" customWidth="1"/>
    <col min="10" max="10" width="5.7109375" style="1" hidden="1" customWidth="1"/>
    <col min="11" max="11" width="10.7109375" style="1" hidden="1" customWidth="1"/>
    <col min="12" max="12" width="5.7109375" style="1" hidden="1" customWidth="1"/>
    <col min="13" max="13" width="10.7109375" style="1" hidden="1" customWidth="1"/>
    <col min="14" max="14" width="5.7109375" style="1" hidden="1" customWidth="1"/>
    <col min="15" max="15" width="10.7109375" style="1" hidden="1" customWidth="1"/>
    <col min="16" max="16" width="5.7109375" style="1" customWidth="1"/>
    <col min="17" max="17" width="10.7109375" style="1" customWidth="1"/>
    <col min="18" max="18" width="5.7109375" style="1" customWidth="1"/>
    <col min="19" max="19" width="10.7109375" style="1" customWidth="1"/>
    <col min="20" max="20" width="5.7109375" style="1" customWidth="1"/>
    <col min="21" max="21" width="10.7109375" style="1" customWidth="1"/>
    <col min="22" max="22" width="5.7109375" style="2" customWidth="1"/>
    <col min="23" max="23" width="10.7109375" style="2" customWidth="1"/>
    <col min="24" max="24" width="5.7109375" style="2" customWidth="1"/>
    <col min="25" max="25" width="10.7109375" style="2" customWidth="1"/>
    <col min="26" max="26" width="5.7109375" style="2" customWidth="1"/>
    <col min="27" max="27" width="10.7109375" style="2" customWidth="1"/>
    <col min="28" max="28" width="9.5703125" style="2" customWidth="1"/>
    <col min="29" max="29" width="14.5703125" style="2" bestFit="1" customWidth="1"/>
    <col min="30" max="30" width="3.28515625" style="2" customWidth="1"/>
    <col min="31" max="31" width="11.42578125" style="2"/>
    <col min="32" max="32" width="3.7109375" style="2" customWidth="1"/>
    <col min="33" max="33" width="10.140625" style="1" customWidth="1"/>
    <col min="34" max="34" width="3.7109375" style="1" customWidth="1"/>
    <col min="35" max="35" width="11.42578125" style="1"/>
    <col min="36" max="36" width="3.7109375" style="1" customWidth="1"/>
    <col min="37" max="37" width="5.7109375" style="1" customWidth="1"/>
    <col min="38" max="38" width="3.7109375" style="1" customWidth="1"/>
    <col min="39" max="39" width="5.7109375" style="1" customWidth="1"/>
    <col min="40" max="40" width="3.7109375" style="1" customWidth="1"/>
    <col min="41" max="41" width="5.7109375" style="1" customWidth="1"/>
    <col min="42" max="16384" width="11.42578125" style="1"/>
  </cols>
  <sheetData>
    <row r="1" spans="1:39" ht="5.25" customHeight="1" x14ac:dyDescent="0.25">
      <c r="AE1" s="1"/>
      <c r="AF1" s="1"/>
    </row>
    <row r="2" spans="1:39" ht="21" x14ac:dyDescent="0.35">
      <c r="B2" s="3" t="s">
        <v>0</v>
      </c>
      <c r="V2" s="1"/>
      <c r="W2" s="4"/>
      <c r="AF2" s="1"/>
    </row>
    <row r="3" spans="1:39" ht="15" customHeight="1" x14ac:dyDescent="0.25">
      <c r="A3" s="5"/>
      <c r="B3" s="6" t="s">
        <v>1</v>
      </c>
      <c r="C3" s="7"/>
      <c r="D3" s="7"/>
      <c r="E3" s="7"/>
      <c r="F3" s="7"/>
      <c r="J3" s="7"/>
      <c r="K3" s="7"/>
      <c r="L3" s="7"/>
      <c r="V3" s="1"/>
      <c r="W3" s="353"/>
      <c r="X3" s="353"/>
      <c r="Y3" s="353"/>
      <c r="Z3" s="353"/>
      <c r="AA3" s="168"/>
      <c r="AB3" s="168"/>
      <c r="AF3" s="1"/>
    </row>
    <row r="4" spans="1:39" ht="18" customHeight="1" x14ac:dyDescent="0.25">
      <c r="B4" s="169" t="s">
        <v>2</v>
      </c>
      <c r="C4" s="354" t="s">
        <v>48</v>
      </c>
      <c r="D4" s="355"/>
      <c r="E4" s="169"/>
      <c r="F4" s="169"/>
      <c r="K4" s="186"/>
      <c r="L4" s="186"/>
      <c r="V4" s="1"/>
      <c r="W4" s="9"/>
      <c r="X4" s="10"/>
      <c r="Y4" s="9"/>
      <c r="Z4" s="9"/>
      <c r="AA4" s="9"/>
      <c r="AB4" s="9"/>
      <c r="AF4" s="1"/>
    </row>
    <row r="5" spans="1:39" ht="15.75" thickBot="1" x14ac:dyDescent="0.3">
      <c r="A5" s="169"/>
      <c r="B5" s="169"/>
      <c r="C5" s="169"/>
      <c r="D5" s="169"/>
      <c r="E5" s="169"/>
      <c r="J5" s="186"/>
      <c r="K5" s="186"/>
      <c r="V5" s="9"/>
      <c r="W5" s="9"/>
      <c r="X5" s="9"/>
      <c r="Y5" s="9"/>
      <c r="Z5" s="9"/>
      <c r="AA5" s="9"/>
      <c r="AE5" s="1"/>
      <c r="AF5" s="1"/>
    </row>
    <row r="6" spans="1:39" ht="27.75" customHeight="1" thickBot="1" x14ac:dyDescent="0.3">
      <c r="B6" s="356" t="s">
        <v>3</v>
      </c>
      <c r="C6" s="343" t="s">
        <v>4</v>
      </c>
      <c r="D6" s="358" t="s">
        <v>36</v>
      </c>
      <c r="E6" s="359"/>
      <c r="F6" s="360"/>
      <c r="G6" s="360"/>
      <c r="H6" s="360"/>
      <c r="I6" s="361"/>
      <c r="J6" s="370" t="s">
        <v>37</v>
      </c>
      <c r="K6" s="371"/>
      <c r="L6" s="372"/>
      <c r="M6" s="372"/>
      <c r="N6" s="372"/>
      <c r="O6" s="373"/>
      <c r="P6" s="362" t="s">
        <v>42</v>
      </c>
      <c r="Q6" s="363"/>
      <c r="R6" s="364"/>
      <c r="S6" s="364"/>
      <c r="T6" s="364"/>
      <c r="U6" s="365"/>
      <c r="V6" s="366" t="s">
        <v>54</v>
      </c>
      <c r="W6" s="367"/>
      <c r="X6" s="368"/>
      <c r="Y6" s="368"/>
      <c r="Z6" s="368"/>
      <c r="AA6" s="369"/>
      <c r="AB6" s="349" t="s">
        <v>5</v>
      </c>
      <c r="AC6" s="349" t="s">
        <v>6</v>
      </c>
      <c r="AE6" s="351" t="s">
        <v>7</v>
      </c>
    </row>
    <row r="7" spans="1:39" ht="27.75" customHeight="1" thickBot="1" x14ac:dyDescent="0.3">
      <c r="B7" s="357"/>
      <c r="C7" s="344"/>
      <c r="D7" s="11" t="s">
        <v>8</v>
      </c>
      <c r="E7" s="14" t="s">
        <v>9</v>
      </c>
      <c r="F7" s="13" t="s">
        <v>8</v>
      </c>
      <c r="G7" s="14" t="s">
        <v>9</v>
      </c>
      <c r="H7" s="11" t="s">
        <v>5</v>
      </c>
      <c r="I7" s="14" t="s">
        <v>10</v>
      </c>
      <c r="J7" s="190" t="s">
        <v>8</v>
      </c>
      <c r="K7" s="192" t="s">
        <v>9</v>
      </c>
      <c r="L7" s="191" t="s">
        <v>8</v>
      </c>
      <c r="M7" s="192" t="s">
        <v>9</v>
      </c>
      <c r="N7" s="190" t="s">
        <v>5</v>
      </c>
      <c r="O7" s="192" t="s">
        <v>10</v>
      </c>
      <c r="P7" s="15" t="s">
        <v>8</v>
      </c>
      <c r="Q7" s="16" t="s">
        <v>9</v>
      </c>
      <c r="R7" s="17" t="s">
        <v>8</v>
      </c>
      <c r="S7" s="16" t="s">
        <v>9</v>
      </c>
      <c r="T7" s="15" t="s">
        <v>5</v>
      </c>
      <c r="U7" s="16" t="s">
        <v>10</v>
      </c>
      <c r="V7" s="18" t="s">
        <v>8</v>
      </c>
      <c r="W7" s="298" t="s">
        <v>9</v>
      </c>
      <c r="X7" s="20" t="s">
        <v>8</v>
      </c>
      <c r="Y7" s="21" t="s">
        <v>9</v>
      </c>
      <c r="Z7" s="18" t="s">
        <v>5</v>
      </c>
      <c r="AA7" s="21" t="s">
        <v>10</v>
      </c>
      <c r="AB7" s="350"/>
      <c r="AC7" s="350"/>
      <c r="AE7" s="352"/>
      <c r="AF7" s="1"/>
      <c r="AG7" s="22" t="s">
        <v>11</v>
      </c>
      <c r="AI7" s="22" t="s">
        <v>12</v>
      </c>
    </row>
    <row r="8" spans="1:39" x14ac:dyDescent="0.25">
      <c r="B8" s="173">
        <v>6320</v>
      </c>
      <c r="C8" s="306" t="s">
        <v>13</v>
      </c>
      <c r="D8" s="24"/>
      <c r="E8" s="25">
        <f>+D8*B8</f>
        <v>0</v>
      </c>
      <c r="F8" s="26">
        <v>10</v>
      </c>
      <c r="G8" s="27">
        <f>6320*10</f>
        <v>63200</v>
      </c>
      <c r="H8" s="28">
        <f>D8+F8</f>
        <v>10</v>
      </c>
      <c r="I8" s="29">
        <f>E8+G8</f>
        <v>63200</v>
      </c>
      <c r="J8" s="199"/>
      <c r="K8" s="200">
        <f>+J8*H8</f>
        <v>0</v>
      </c>
      <c r="L8" s="201"/>
      <c r="M8" s="202"/>
      <c r="N8" s="193">
        <f>J8+L8</f>
        <v>0</v>
      </c>
      <c r="O8" s="194">
        <f>K8+M8</f>
        <v>0</v>
      </c>
      <c r="P8" s="30"/>
      <c r="Q8" s="178">
        <f>+P8*B8</f>
        <v>0</v>
      </c>
      <c r="R8" s="232">
        <v>5</v>
      </c>
      <c r="S8" s="33">
        <f>6320*5</f>
        <v>31600</v>
      </c>
      <c r="T8" s="34">
        <f>P8+R8</f>
        <v>5</v>
      </c>
      <c r="U8" s="35">
        <f>Q8+S8</f>
        <v>31600</v>
      </c>
      <c r="V8" s="36"/>
      <c r="W8" s="299">
        <f t="shared" ref="W8:W19" si="0">+V8*B8</f>
        <v>0</v>
      </c>
      <c r="X8" s="38">
        <v>8</v>
      </c>
      <c r="Y8" s="39">
        <f>6320*8</f>
        <v>50560</v>
      </c>
      <c r="Z8" s="40">
        <f>V8+X8</f>
        <v>8</v>
      </c>
      <c r="AA8" s="41">
        <f>Y8+W8</f>
        <v>50560</v>
      </c>
      <c r="AB8" s="152">
        <f>+D8+F8+P8+R8+V8+X8+J8+L8</f>
        <v>23</v>
      </c>
      <c r="AC8" s="220">
        <f>+E8+G8+Q8+S8+W8+Y8+K8+M8</f>
        <v>145360</v>
      </c>
      <c r="AD8" s="44"/>
      <c r="AE8" s="45"/>
      <c r="AF8" s="1"/>
      <c r="AG8" s="187">
        <f>E8+W8+Q8+K8</f>
        <v>0</v>
      </c>
      <c r="AI8" s="156">
        <f>G8+Y8+S8+M8</f>
        <v>145360</v>
      </c>
      <c r="AK8" s="139">
        <f>F8+R8+X8+L8</f>
        <v>23</v>
      </c>
      <c r="AM8" s="139">
        <f>+D8+P8+V8+J8</f>
        <v>0</v>
      </c>
    </row>
    <row r="9" spans="1:39" x14ac:dyDescent="0.25">
      <c r="B9" s="174">
        <v>6320</v>
      </c>
      <c r="C9" s="153" t="s">
        <v>14</v>
      </c>
      <c r="D9" s="47"/>
      <c r="E9" s="48">
        <f t="shared" ref="E9:E19" si="1">+D9*B9</f>
        <v>0</v>
      </c>
      <c r="F9" s="49">
        <v>1</v>
      </c>
      <c r="G9" s="50">
        <v>6320</v>
      </c>
      <c r="H9" s="51">
        <f>D9+F9</f>
        <v>1</v>
      </c>
      <c r="I9" s="52">
        <f>G9+E9</f>
        <v>6320</v>
      </c>
      <c r="J9" s="203"/>
      <c r="K9" s="204">
        <f t="shared" ref="K9:K15" si="2">+J9*H9</f>
        <v>0</v>
      </c>
      <c r="L9" s="205"/>
      <c r="M9" s="206"/>
      <c r="N9" s="195">
        <f>J9+L9</f>
        <v>0</v>
      </c>
      <c r="O9" s="196">
        <f>M9+K9</f>
        <v>0</v>
      </c>
      <c r="P9" s="53"/>
      <c r="Q9" s="179">
        <f>+P9*B9</f>
        <v>0</v>
      </c>
      <c r="R9" s="233">
        <v>4</v>
      </c>
      <c r="S9" s="56">
        <f>6320*4</f>
        <v>25280</v>
      </c>
      <c r="T9" s="57">
        <f>P9+R9</f>
        <v>4</v>
      </c>
      <c r="U9" s="58">
        <f>S9+Q9</f>
        <v>25280</v>
      </c>
      <c r="V9" s="59"/>
      <c r="W9" s="299">
        <f t="shared" si="0"/>
        <v>0</v>
      </c>
      <c r="X9" s="61">
        <v>4</v>
      </c>
      <c r="Y9" s="62">
        <f>6320*4</f>
        <v>25280</v>
      </c>
      <c r="Z9" s="63">
        <f>V9+X9</f>
        <v>4</v>
      </c>
      <c r="AA9" s="41">
        <f>Y9+W9</f>
        <v>25280</v>
      </c>
      <c r="AB9" s="152">
        <f t="shared" ref="AB9:AB22" si="3">+D9+F9+P9+R9+V9+X9+J9+L9</f>
        <v>9</v>
      </c>
      <c r="AC9" s="220">
        <f t="shared" ref="AC9:AC22" si="4">+E9+G9+Q9+S9+W9+Y9+K9+M9</f>
        <v>56880</v>
      </c>
      <c r="AD9" s="44"/>
      <c r="AE9" s="64"/>
      <c r="AF9" s="1"/>
      <c r="AG9" s="218">
        <f t="shared" ref="AG9:AG22" si="5">E9+W9+Q9+K9</f>
        <v>0</v>
      </c>
      <c r="AI9" s="151">
        <f t="shared" ref="AI9:AI22" si="6">G9+Y9+S9+M9</f>
        <v>56880</v>
      </c>
      <c r="AK9" s="142">
        <f t="shared" ref="AK9:AK22" si="7">F9+R9+X9+L9</f>
        <v>9</v>
      </c>
      <c r="AM9" s="142">
        <f t="shared" ref="AM9:AM22" si="8">+D9+P9+V9+J9</f>
        <v>0</v>
      </c>
    </row>
    <row r="10" spans="1:39" x14ac:dyDescent="0.25">
      <c r="B10" s="174">
        <v>6320</v>
      </c>
      <c r="C10" s="153" t="s">
        <v>16</v>
      </c>
      <c r="D10" s="47"/>
      <c r="E10" s="48">
        <f t="shared" si="1"/>
        <v>0</v>
      </c>
      <c r="F10" s="49">
        <v>1</v>
      </c>
      <c r="G10" s="50">
        <v>6320</v>
      </c>
      <c r="H10" s="51">
        <f t="shared" ref="H10:H22" si="9">D10+F10</f>
        <v>1</v>
      </c>
      <c r="I10" s="52">
        <f t="shared" ref="I10:I22" si="10">G10+E10</f>
        <v>6320</v>
      </c>
      <c r="J10" s="203"/>
      <c r="K10" s="204">
        <f t="shared" si="2"/>
        <v>0</v>
      </c>
      <c r="L10" s="205"/>
      <c r="M10" s="206"/>
      <c r="N10" s="195">
        <f t="shared" ref="N10:N22" si="11">J10+L10</f>
        <v>0</v>
      </c>
      <c r="O10" s="196">
        <f t="shared" ref="O10:O22" si="12">M10+K10</f>
        <v>0</v>
      </c>
      <c r="P10" s="53"/>
      <c r="Q10" s="179">
        <f>+P10*B10</f>
        <v>0</v>
      </c>
      <c r="R10" s="233">
        <v>3</v>
      </c>
      <c r="S10" s="56">
        <f>6320*3</f>
        <v>18960</v>
      </c>
      <c r="T10" s="57">
        <f t="shared" ref="T10:T22" si="13">P10+R10</f>
        <v>3</v>
      </c>
      <c r="U10" s="58">
        <f t="shared" ref="U10:U22" si="14">S10+Q10</f>
        <v>18960</v>
      </c>
      <c r="V10" s="59"/>
      <c r="W10" s="299">
        <f t="shared" si="0"/>
        <v>0</v>
      </c>
      <c r="X10" s="61">
        <v>5</v>
      </c>
      <c r="Y10" s="62">
        <f>6320*5</f>
        <v>31600</v>
      </c>
      <c r="Z10" s="63">
        <f t="shared" ref="Z10:Z22" si="15">V10+X10</f>
        <v>5</v>
      </c>
      <c r="AA10" s="41">
        <f t="shared" ref="AA10" si="16">Y10+W10</f>
        <v>31600</v>
      </c>
      <c r="AB10" s="152">
        <f t="shared" si="3"/>
        <v>9</v>
      </c>
      <c r="AC10" s="220">
        <f t="shared" si="4"/>
        <v>56880</v>
      </c>
      <c r="AD10" s="44"/>
      <c r="AE10" s="64"/>
      <c r="AF10" s="1"/>
      <c r="AG10" s="218">
        <f t="shared" si="5"/>
        <v>0</v>
      </c>
      <c r="AI10" s="64">
        <f t="shared" si="6"/>
        <v>56880</v>
      </c>
      <c r="AK10" s="142">
        <f t="shared" si="7"/>
        <v>9</v>
      </c>
      <c r="AM10" s="142">
        <f t="shared" si="8"/>
        <v>0</v>
      </c>
    </row>
    <row r="11" spans="1:39" x14ac:dyDescent="0.25">
      <c r="B11" s="174">
        <v>6320</v>
      </c>
      <c r="C11" s="153" t="s">
        <v>17</v>
      </c>
      <c r="D11" s="65"/>
      <c r="E11" s="48">
        <f t="shared" si="1"/>
        <v>0</v>
      </c>
      <c r="F11" s="49">
        <v>5</v>
      </c>
      <c r="G11" s="50">
        <f>1896+6320*4</f>
        <v>27176</v>
      </c>
      <c r="H11" s="51">
        <f t="shared" si="9"/>
        <v>5</v>
      </c>
      <c r="I11" s="52">
        <f t="shared" si="10"/>
        <v>27176</v>
      </c>
      <c r="J11" s="207"/>
      <c r="K11" s="204">
        <f t="shared" si="2"/>
        <v>0</v>
      </c>
      <c r="L11" s="205"/>
      <c r="M11" s="206"/>
      <c r="N11" s="195">
        <f t="shared" si="11"/>
        <v>0</v>
      </c>
      <c r="O11" s="196">
        <f t="shared" si="12"/>
        <v>0</v>
      </c>
      <c r="P11" s="66"/>
      <c r="Q11" s="179">
        <f>+P11*B11</f>
        <v>0</v>
      </c>
      <c r="R11" s="234">
        <v>3</v>
      </c>
      <c r="S11" s="56">
        <f>6320*2+1264</f>
        <v>13904</v>
      </c>
      <c r="T11" s="57">
        <f t="shared" si="13"/>
        <v>3</v>
      </c>
      <c r="U11" s="58">
        <f t="shared" si="14"/>
        <v>13904</v>
      </c>
      <c r="V11" s="68"/>
      <c r="W11" s="299">
        <f t="shared" si="0"/>
        <v>0</v>
      </c>
      <c r="X11" s="69">
        <v>5</v>
      </c>
      <c r="Y11" s="62">
        <f>6320*5</f>
        <v>31600</v>
      </c>
      <c r="Z11" s="63">
        <f t="shared" si="15"/>
        <v>5</v>
      </c>
      <c r="AA11" s="41">
        <f t="shared" ref="AA11:AA22" si="17">Y11+W11</f>
        <v>31600</v>
      </c>
      <c r="AB11" s="152">
        <f t="shared" si="3"/>
        <v>13</v>
      </c>
      <c r="AC11" s="220">
        <f t="shared" si="4"/>
        <v>72680</v>
      </c>
      <c r="AD11" s="70"/>
      <c r="AE11" s="151">
        <f>5056+4424</f>
        <v>9480</v>
      </c>
      <c r="AF11" s="1"/>
      <c r="AG11" s="218">
        <f t="shared" si="5"/>
        <v>0</v>
      </c>
      <c r="AI11" s="151">
        <f t="shared" si="6"/>
        <v>72680</v>
      </c>
      <c r="AK11" s="142">
        <f t="shared" si="7"/>
        <v>13</v>
      </c>
      <c r="AM11" s="142">
        <f t="shared" si="8"/>
        <v>0</v>
      </c>
    </row>
    <row r="12" spans="1:39" x14ac:dyDescent="0.25">
      <c r="B12" s="174">
        <v>6320</v>
      </c>
      <c r="C12" s="153" t="s">
        <v>18</v>
      </c>
      <c r="D12" s="65"/>
      <c r="E12" s="48">
        <f t="shared" si="1"/>
        <v>0</v>
      </c>
      <c r="F12" s="49">
        <v>3</v>
      </c>
      <c r="G12" s="50">
        <f>6320*3</f>
        <v>18960</v>
      </c>
      <c r="H12" s="51">
        <f t="shared" si="9"/>
        <v>3</v>
      </c>
      <c r="I12" s="52">
        <f t="shared" si="10"/>
        <v>18960</v>
      </c>
      <c r="J12" s="207"/>
      <c r="K12" s="204">
        <f t="shared" si="2"/>
        <v>0</v>
      </c>
      <c r="L12" s="205"/>
      <c r="M12" s="206"/>
      <c r="N12" s="195">
        <f t="shared" si="11"/>
        <v>0</v>
      </c>
      <c r="O12" s="196">
        <f t="shared" si="12"/>
        <v>0</v>
      </c>
      <c r="P12" s="66"/>
      <c r="Q12" s="179">
        <v>0</v>
      </c>
      <c r="R12" s="234">
        <v>8</v>
      </c>
      <c r="S12" s="56">
        <f>6320*8</f>
        <v>50560</v>
      </c>
      <c r="T12" s="57">
        <f t="shared" si="13"/>
        <v>8</v>
      </c>
      <c r="U12" s="58">
        <f t="shared" si="14"/>
        <v>50560</v>
      </c>
      <c r="V12" s="68"/>
      <c r="W12" s="299">
        <f t="shared" si="0"/>
        <v>0</v>
      </c>
      <c r="X12" s="69">
        <v>2</v>
      </c>
      <c r="Y12" s="62">
        <f>6320*2</f>
        <v>12640</v>
      </c>
      <c r="Z12" s="63">
        <f t="shared" si="15"/>
        <v>2</v>
      </c>
      <c r="AA12" s="41">
        <f t="shared" si="17"/>
        <v>12640</v>
      </c>
      <c r="AB12" s="152">
        <f t="shared" si="3"/>
        <v>13</v>
      </c>
      <c r="AC12" s="220">
        <f t="shared" si="4"/>
        <v>82160</v>
      </c>
      <c r="AD12" s="71"/>
      <c r="AE12" s="64"/>
      <c r="AF12" s="1"/>
      <c r="AG12" s="218">
        <f t="shared" si="5"/>
        <v>0</v>
      </c>
      <c r="AI12" s="151">
        <f t="shared" si="6"/>
        <v>82160</v>
      </c>
      <c r="AK12" s="142">
        <f t="shared" si="7"/>
        <v>13</v>
      </c>
      <c r="AM12" s="142">
        <f t="shared" si="8"/>
        <v>0</v>
      </c>
    </row>
    <row r="13" spans="1:39" x14ac:dyDescent="0.25">
      <c r="B13" s="174">
        <v>6320</v>
      </c>
      <c r="C13" s="153" t="s">
        <v>19</v>
      </c>
      <c r="D13" s="65"/>
      <c r="E13" s="48">
        <f t="shared" si="1"/>
        <v>0</v>
      </c>
      <c r="F13" s="49">
        <v>1</v>
      </c>
      <c r="G13" s="50">
        <v>1264</v>
      </c>
      <c r="H13" s="51">
        <f t="shared" si="9"/>
        <v>1</v>
      </c>
      <c r="I13" s="52">
        <f t="shared" si="10"/>
        <v>1264</v>
      </c>
      <c r="J13" s="207"/>
      <c r="K13" s="204">
        <f t="shared" si="2"/>
        <v>0</v>
      </c>
      <c r="L13" s="205"/>
      <c r="M13" s="206"/>
      <c r="N13" s="195">
        <f t="shared" si="11"/>
        <v>0</v>
      </c>
      <c r="O13" s="196">
        <f t="shared" si="12"/>
        <v>0</v>
      </c>
      <c r="P13" s="66"/>
      <c r="Q13" s="179">
        <v>0</v>
      </c>
      <c r="R13" s="234">
        <v>2</v>
      </c>
      <c r="S13" s="56">
        <f>6320*2</f>
        <v>12640</v>
      </c>
      <c r="T13" s="57">
        <f t="shared" si="13"/>
        <v>2</v>
      </c>
      <c r="U13" s="58">
        <f t="shared" si="14"/>
        <v>12640</v>
      </c>
      <c r="V13" s="68"/>
      <c r="W13" s="299">
        <f t="shared" si="0"/>
        <v>0</v>
      </c>
      <c r="X13" s="69"/>
      <c r="Y13" s="62"/>
      <c r="Z13" s="63">
        <f t="shared" si="15"/>
        <v>0</v>
      </c>
      <c r="AA13" s="41">
        <f t="shared" si="17"/>
        <v>0</v>
      </c>
      <c r="AB13" s="152">
        <f t="shared" si="3"/>
        <v>3</v>
      </c>
      <c r="AC13" s="220">
        <f t="shared" si="4"/>
        <v>13904</v>
      </c>
      <c r="AD13" s="70"/>
      <c r="AE13" s="151">
        <v>5056</v>
      </c>
      <c r="AF13" s="1"/>
      <c r="AG13" s="218">
        <f t="shared" si="5"/>
        <v>0</v>
      </c>
      <c r="AI13" s="151">
        <f t="shared" si="6"/>
        <v>13904</v>
      </c>
      <c r="AK13" s="142">
        <f t="shared" si="7"/>
        <v>3</v>
      </c>
      <c r="AM13" s="142">
        <f t="shared" si="8"/>
        <v>0</v>
      </c>
    </row>
    <row r="14" spans="1:39" x14ac:dyDescent="0.25">
      <c r="B14" s="174">
        <v>6320</v>
      </c>
      <c r="C14" s="153" t="s">
        <v>20</v>
      </c>
      <c r="D14" s="65"/>
      <c r="E14" s="48">
        <f t="shared" si="1"/>
        <v>0</v>
      </c>
      <c r="F14" s="49">
        <v>1</v>
      </c>
      <c r="G14" s="50">
        <v>6320</v>
      </c>
      <c r="H14" s="51">
        <f t="shared" si="9"/>
        <v>1</v>
      </c>
      <c r="I14" s="52">
        <f t="shared" si="10"/>
        <v>6320</v>
      </c>
      <c r="J14" s="207"/>
      <c r="K14" s="204">
        <f t="shared" si="2"/>
        <v>0</v>
      </c>
      <c r="L14" s="205"/>
      <c r="M14" s="206"/>
      <c r="N14" s="195">
        <f t="shared" si="11"/>
        <v>0</v>
      </c>
      <c r="O14" s="196">
        <f t="shared" si="12"/>
        <v>0</v>
      </c>
      <c r="P14" s="66"/>
      <c r="Q14" s="179">
        <v>0</v>
      </c>
      <c r="R14" s="234">
        <v>2</v>
      </c>
      <c r="S14" s="56">
        <f>6320*2</f>
        <v>12640</v>
      </c>
      <c r="T14" s="57">
        <f t="shared" si="13"/>
        <v>2</v>
      </c>
      <c r="U14" s="58">
        <f t="shared" si="14"/>
        <v>12640</v>
      </c>
      <c r="V14" s="68"/>
      <c r="W14" s="299">
        <f t="shared" si="0"/>
        <v>0</v>
      </c>
      <c r="X14" s="69">
        <v>1</v>
      </c>
      <c r="Y14" s="62">
        <v>6320</v>
      </c>
      <c r="Z14" s="63">
        <f t="shared" si="15"/>
        <v>1</v>
      </c>
      <c r="AA14" s="41">
        <f t="shared" si="17"/>
        <v>6320</v>
      </c>
      <c r="AB14" s="152">
        <f t="shared" si="3"/>
        <v>4</v>
      </c>
      <c r="AC14" s="220">
        <f t="shared" si="4"/>
        <v>25280</v>
      </c>
      <c r="AD14" s="70"/>
      <c r="AE14" s="64"/>
      <c r="AF14" s="1"/>
      <c r="AG14" s="218">
        <f t="shared" si="5"/>
        <v>0</v>
      </c>
      <c r="AI14" s="151">
        <f t="shared" si="6"/>
        <v>25280</v>
      </c>
      <c r="AK14" s="142">
        <f t="shared" si="7"/>
        <v>4</v>
      </c>
      <c r="AM14" s="142">
        <f t="shared" si="8"/>
        <v>0</v>
      </c>
    </row>
    <row r="15" spans="1:39" x14ac:dyDescent="0.25">
      <c r="B15" s="174">
        <v>6320</v>
      </c>
      <c r="C15" s="46" t="s">
        <v>21</v>
      </c>
      <c r="D15" s="65"/>
      <c r="E15" s="48">
        <f t="shared" si="1"/>
        <v>0</v>
      </c>
      <c r="F15" s="49"/>
      <c r="G15" s="50"/>
      <c r="H15" s="51">
        <f t="shared" si="9"/>
        <v>0</v>
      </c>
      <c r="I15" s="52">
        <f t="shared" si="10"/>
        <v>0</v>
      </c>
      <c r="J15" s="207"/>
      <c r="K15" s="204">
        <f t="shared" si="2"/>
        <v>0</v>
      </c>
      <c r="L15" s="205"/>
      <c r="M15" s="206"/>
      <c r="N15" s="195">
        <f t="shared" si="11"/>
        <v>0</v>
      </c>
      <c r="O15" s="196">
        <f t="shared" si="12"/>
        <v>0</v>
      </c>
      <c r="P15" s="66"/>
      <c r="Q15" s="179">
        <v>0</v>
      </c>
      <c r="R15" s="234"/>
      <c r="S15" s="56"/>
      <c r="T15" s="57">
        <f t="shared" si="13"/>
        <v>0</v>
      </c>
      <c r="U15" s="58">
        <f t="shared" si="14"/>
        <v>0</v>
      </c>
      <c r="V15" s="68"/>
      <c r="W15" s="299">
        <f t="shared" si="0"/>
        <v>0</v>
      </c>
      <c r="X15" s="69"/>
      <c r="Y15" s="62"/>
      <c r="Z15" s="63">
        <f t="shared" si="15"/>
        <v>0</v>
      </c>
      <c r="AA15" s="41">
        <f t="shared" si="17"/>
        <v>0</v>
      </c>
      <c r="AB15" s="42">
        <f t="shared" si="3"/>
        <v>0</v>
      </c>
      <c r="AC15" s="188">
        <f t="shared" si="4"/>
        <v>0</v>
      </c>
      <c r="AD15" s="70"/>
      <c r="AE15" s="64"/>
      <c r="AF15" s="1"/>
      <c r="AG15" s="218">
        <f t="shared" si="5"/>
        <v>0</v>
      </c>
      <c r="AI15" s="64">
        <f t="shared" si="6"/>
        <v>0</v>
      </c>
      <c r="AK15" s="142">
        <f t="shared" si="7"/>
        <v>0</v>
      </c>
      <c r="AM15" s="142">
        <f t="shared" si="8"/>
        <v>0</v>
      </c>
    </row>
    <row r="16" spans="1:39" x14ac:dyDescent="0.25">
      <c r="B16" s="174" t="s">
        <v>26</v>
      </c>
      <c r="C16" s="46" t="s">
        <v>33</v>
      </c>
      <c r="D16" s="65"/>
      <c r="E16" s="48">
        <v>0</v>
      </c>
      <c r="F16" s="49"/>
      <c r="G16" s="50"/>
      <c r="H16" s="51">
        <f t="shared" si="9"/>
        <v>0</v>
      </c>
      <c r="I16" s="52">
        <f t="shared" si="10"/>
        <v>0</v>
      </c>
      <c r="J16" s="207"/>
      <c r="K16" s="204">
        <v>0</v>
      </c>
      <c r="L16" s="205"/>
      <c r="M16" s="206"/>
      <c r="N16" s="195">
        <f t="shared" si="11"/>
        <v>0</v>
      </c>
      <c r="O16" s="196">
        <f t="shared" si="12"/>
        <v>0</v>
      </c>
      <c r="P16" s="66"/>
      <c r="Q16" s="179">
        <v>0</v>
      </c>
      <c r="R16" s="234"/>
      <c r="S16" s="56"/>
      <c r="T16" s="57">
        <f t="shared" si="13"/>
        <v>0</v>
      </c>
      <c r="U16" s="58">
        <f t="shared" si="14"/>
        <v>0</v>
      </c>
      <c r="V16" s="68"/>
      <c r="W16" s="60">
        <v>0</v>
      </c>
      <c r="X16" s="69"/>
      <c r="Y16" s="62"/>
      <c r="Z16" s="63">
        <f>+X16+V16</f>
        <v>0</v>
      </c>
      <c r="AA16" s="41">
        <f>+Y16+W16</f>
        <v>0</v>
      </c>
      <c r="AB16" s="42">
        <f t="shared" si="3"/>
        <v>0</v>
      </c>
      <c r="AC16" s="188">
        <f t="shared" si="4"/>
        <v>0</v>
      </c>
      <c r="AD16" s="70"/>
      <c r="AE16" s="64"/>
      <c r="AF16" s="1"/>
      <c r="AG16" s="218">
        <f t="shared" si="5"/>
        <v>0</v>
      </c>
      <c r="AI16" s="64">
        <f t="shared" si="6"/>
        <v>0</v>
      </c>
      <c r="AK16" s="142">
        <f t="shared" si="7"/>
        <v>0</v>
      </c>
      <c r="AM16" s="142">
        <f t="shared" si="8"/>
        <v>0</v>
      </c>
    </row>
    <row r="17" spans="2:41" x14ac:dyDescent="0.25">
      <c r="B17" s="175">
        <v>14010</v>
      </c>
      <c r="C17" s="46" t="s">
        <v>23</v>
      </c>
      <c r="D17" s="65"/>
      <c r="E17" s="48">
        <f t="shared" si="1"/>
        <v>0</v>
      </c>
      <c r="F17" s="49"/>
      <c r="G17" s="50"/>
      <c r="H17" s="51">
        <f t="shared" si="9"/>
        <v>0</v>
      </c>
      <c r="I17" s="52">
        <f t="shared" si="10"/>
        <v>0</v>
      </c>
      <c r="J17" s="207"/>
      <c r="K17" s="204">
        <f>+J17*H17</f>
        <v>0</v>
      </c>
      <c r="L17" s="205"/>
      <c r="M17" s="206"/>
      <c r="N17" s="195">
        <f t="shared" si="11"/>
        <v>0</v>
      </c>
      <c r="O17" s="196">
        <f t="shared" si="12"/>
        <v>0</v>
      </c>
      <c r="P17" s="66"/>
      <c r="Q17" s="179">
        <v>0</v>
      </c>
      <c r="R17" s="234"/>
      <c r="S17" s="56"/>
      <c r="T17" s="57">
        <f t="shared" si="13"/>
        <v>0</v>
      </c>
      <c r="U17" s="58">
        <f t="shared" si="14"/>
        <v>0</v>
      </c>
      <c r="V17" s="68"/>
      <c r="W17" s="60">
        <f t="shared" si="0"/>
        <v>0</v>
      </c>
      <c r="X17" s="69"/>
      <c r="Y17" s="62"/>
      <c r="Z17" s="63">
        <f t="shared" si="15"/>
        <v>0</v>
      </c>
      <c r="AA17" s="41">
        <f t="shared" si="17"/>
        <v>0</v>
      </c>
      <c r="AB17" s="42">
        <f t="shared" si="3"/>
        <v>0</v>
      </c>
      <c r="AC17" s="188">
        <f t="shared" si="4"/>
        <v>0</v>
      </c>
      <c r="AD17" s="70"/>
      <c r="AE17" s="64"/>
      <c r="AF17" s="1"/>
      <c r="AG17" s="218">
        <f t="shared" si="5"/>
        <v>0</v>
      </c>
      <c r="AI17" s="64">
        <f t="shared" si="6"/>
        <v>0</v>
      </c>
      <c r="AK17" s="142">
        <f t="shared" si="7"/>
        <v>0</v>
      </c>
      <c r="AM17" s="142">
        <f t="shared" si="8"/>
        <v>0</v>
      </c>
    </row>
    <row r="18" spans="2:41" x14ac:dyDescent="0.25">
      <c r="B18" s="174">
        <v>11870</v>
      </c>
      <c r="C18" s="46" t="s">
        <v>24</v>
      </c>
      <c r="D18" s="65"/>
      <c r="E18" s="48">
        <f t="shared" si="1"/>
        <v>0</v>
      </c>
      <c r="F18" s="49"/>
      <c r="G18" s="50"/>
      <c r="H18" s="51">
        <f t="shared" si="9"/>
        <v>0</v>
      </c>
      <c r="I18" s="52">
        <f t="shared" si="10"/>
        <v>0</v>
      </c>
      <c r="J18" s="207"/>
      <c r="K18" s="204">
        <f>+J18*H18</f>
        <v>0</v>
      </c>
      <c r="L18" s="205"/>
      <c r="M18" s="206"/>
      <c r="N18" s="195">
        <f t="shared" si="11"/>
        <v>0</v>
      </c>
      <c r="O18" s="196">
        <f t="shared" si="12"/>
        <v>0</v>
      </c>
      <c r="P18" s="66"/>
      <c r="Q18" s="179">
        <v>0</v>
      </c>
      <c r="R18" s="234"/>
      <c r="S18" s="56"/>
      <c r="T18" s="57">
        <f t="shared" si="13"/>
        <v>0</v>
      </c>
      <c r="U18" s="58">
        <f t="shared" si="14"/>
        <v>0</v>
      </c>
      <c r="V18" s="68"/>
      <c r="W18" s="60">
        <f t="shared" si="0"/>
        <v>0</v>
      </c>
      <c r="X18" s="69"/>
      <c r="Y18" s="62"/>
      <c r="Z18" s="63">
        <f t="shared" si="15"/>
        <v>0</v>
      </c>
      <c r="AA18" s="41">
        <f t="shared" si="17"/>
        <v>0</v>
      </c>
      <c r="AB18" s="42">
        <f t="shared" si="3"/>
        <v>0</v>
      </c>
      <c r="AC18" s="188">
        <f>+E18+G18+Q18+S18+W18+Y18+K18+M18</f>
        <v>0</v>
      </c>
      <c r="AD18" s="70"/>
      <c r="AE18" s="64"/>
      <c r="AF18" s="1"/>
      <c r="AG18" s="218">
        <f t="shared" si="5"/>
        <v>0</v>
      </c>
      <c r="AI18" s="64">
        <f t="shared" si="6"/>
        <v>0</v>
      </c>
      <c r="AK18" s="142">
        <f t="shared" si="7"/>
        <v>0</v>
      </c>
      <c r="AM18" s="142">
        <f t="shared" si="8"/>
        <v>0</v>
      </c>
    </row>
    <row r="19" spans="2:41" x14ac:dyDescent="0.25">
      <c r="B19" s="174">
        <v>6710</v>
      </c>
      <c r="C19" s="46" t="s">
        <v>0</v>
      </c>
      <c r="D19" s="65"/>
      <c r="E19" s="48">
        <f t="shared" si="1"/>
        <v>0</v>
      </c>
      <c r="F19" s="72"/>
      <c r="G19" s="50"/>
      <c r="H19" s="51">
        <f t="shared" si="9"/>
        <v>0</v>
      </c>
      <c r="I19" s="52">
        <f t="shared" si="10"/>
        <v>0</v>
      </c>
      <c r="J19" s="207"/>
      <c r="K19" s="204">
        <f>+J19*H19</f>
        <v>0</v>
      </c>
      <c r="L19" s="208"/>
      <c r="M19" s="206"/>
      <c r="N19" s="195">
        <f t="shared" si="11"/>
        <v>0</v>
      </c>
      <c r="O19" s="196">
        <f t="shared" si="12"/>
        <v>0</v>
      </c>
      <c r="P19" s="66"/>
      <c r="Q19" s="179">
        <v>0</v>
      </c>
      <c r="R19" s="235"/>
      <c r="S19" s="56"/>
      <c r="T19" s="57">
        <f t="shared" si="13"/>
        <v>0</v>
      </c>
      <c r="U19" s="58">
        <f t="shared" si="14"/>
        <v>0</v>
      </c>
      <c r="V19" s="68"/>
      <c r="W19" s="60">
        <f t="shared" si="0"/>
        <v>0</v>
      </c>
      <c r="X19" s="74"/>
      <c r="Y19" s="62"/>
      <c r="Z19" s="63">
        <f t="shared" si="15"/>
        <v>0</v>
      </c>
      <c r="AA19" s="41">
        <f t="shared" si="17"/>
        <v>0</v>
      </c>
      <c r="AB19" s="42">
        <f t="shared" si="3"/>
        <v>0</v>
      </c>
      <c r="AC19" s="188">
        <f t="shared" si="4"/>
        <v>0</v>
      </c>
      <c r="AD19" s="70"/>
      <c r="AE19" s="64"/>
      <c r="AF19" s="1" t="s">
        <v>25</v>
      </c>
      <c r="AG19" s="218">
        <f t="shared" si="5"/>
        <v>0</v>
      </c>
      <c r="AI19" s="64">
        <f t="shared" si="6"/>
        <v>0</v>
      </c>
      <c r="AK19" s="142">
        <f t="shared" si="7"/>
        <v>0</v>
      </c>
      <c r="AM19" s="142">
        <f t="shared" si="8"/>
        <v>0</v>
      </c>
    </row>
    <row r="20" spans="2:41" x14ac:dyDescent="0.25">
      <c r="B20" s="174" t="s">
        <v>26</v>
      </c>
      <c r="C20" s="46" t="s">
        <v>0</v>
      </c>
      <c r="D20" s="65"/>
      <c r="E20" s="48">
        <v>0</v>
      </c>
      <c r="F20" s="49"/>
      <c r="G20" s="50"/>
      <c r="H20" s="51">
        <f t="shared" si="9"/>
        <v>0</v>
      </c>
      <c r="I20" s="52">
        <f t="shared" si="10"/>
        <v>0</v>
      </c>
      <c r="J20" s="207"/>
      <c r="K20" s="204">
        <v>0</v>
      </c>
      <c r="L20" s="205"/>
      <c r="M20" s="206"/>
      <c r="N20" s="195">
        <f t="shared" si="11"/>
        <v>0</v>
      </c>
      <c r="O20" s="196">
        <f t="shared" si="12"/>
        <v>0</v>
      </c>
      <c r="P20" s="66"/>
      <c r="Q20" s="179">
        <v>0</v>
      </c>
      <c r="R20" s="234"/>
      <c r="S20" s="56"/>
      <c r="T20" s="57">
        <f t="shared" si="13"/>
        <v>0</v>
      </c>
      <c r="U20" s="58">
        <f t="shared" si="14"/>
        <v>0</v>
      </c>
      <c r="V20" s="68"/>
      <c r="W20" s="60">
        <v>0</v>
      </c>
      <c r="X20" s="69"/>
      <c r="Y20" s="62"/>
      <c r="Z20" s="63">
        <f t="shared" si="15"/>
        <v>0</v>
      </c>
      <c r="AA20" s="41">
        <f t="shared" si="17"/>
        <v>0</v>
      </c>
      <c r="AB20" s="42">
        <f t="shared" si="3"/>
        <v>0</v>
      </c>
      <c r="AC20" s="188">
        <f t="shared" si="4"/>
        <v>0</v>
      </c>
      <c r="AD20" s="70"/>
      <c r="AE20" s="64"/>
      <c r="AF20" s="1"/>
      <c r="AG20" s="218">
        <f t="shared" si="5"/>
        <v>0</v>
      </c>
      <c r="AI20" s="64">
        <f t="shared" si="6"/>
        <v>0</v>
      </c>
      <c r="AK20" s="142">
        <f t="shared" si="7"/>
        <v>0</v>
      </c>
      <c r="AM20" s="142">
        <f t="shared" si="8"/>
        <v>0</v>
      </c>
    </row>
    <row r="21" spans="2:41" x14ac:dyDescent="0.25">
      <c r="B21" s="174" t="s">
        <v>26</v>
      </c>
      <c r="C21" s="153" t="s">
        <v>28</v>
      </c>
      <c r="D21" s="65"/>
      <c r="E21" s="75">
        <v>0</v>
      </c>
      <c r="F21" s="49">
        <v>5</v>
      </c>
      <c r="G21" s="50">
        <f>24700*2+17160*2+8424</f>
        <v>92144</v>
      </c>
      <c r="H21" s="51">
        <f t="shared" si="9"/>
        <v>5</v>
      </c>
      <c r="I21" s="52">
        <f t="shared" si="10"/>
        <v>92144</v>
      </c>
      <c r="J21" s="207"/>
      <c r="K21" s="209">
        <v>0</v>
      </c>
      <c r="L21" s="205"/>
      <c r="M21" s="206"/>
      <c r="N21" s="195">
        <f t="shared" si="11"/>
        <v>0</v>
      </c>
      <c r="O21" s="196">
        <f t="shared" si="12"/>
        <v>0</v>
      </c>
      <c r="P21" s="66"/>
      <c r="Q21" s="179">
        <v>0</v>
      </c>
      <c r="R21" s="234">
        <v>9</v>
      </c>
      <c r="S21" s="56">
        <f>17160*7+13750*2</f>
        <v>147620</v>
      </c>
      <c r="T21" s="57">
        <f t="shared" si="13"/>
        <v>9</v>
      </c>
      <c r="U21" s="58">
        <f t="shared" si="14"/>
        <v>147620</v>
      </c>
      <c r="V21" s="68"/>
      <c r="W21" s="60">
        <v>0</v>
      </c>
      <c r="X21" s="69">
        <v>2</v>
      </c>
      <c r="Y21" s="62">
        <f>24700+17160</f>
        <v>41860</v>
      </c>
      <c r="Z21" s="63">
        <f t="shared" si="15"/>
        <v>2</v>
      </c>
      <c r="AA21" s="41">
        <f t="shared" si="17"/>
        <v>41860</v>
      </c>
      <c r="AB21" s="152">
        <f t="shared" si="3"/>
        <v>16</v>
      </c>
      <c r="AC21" s="220">
        <f t="shared" si="4"/>
        <v>281624</v>
      </c>
      <c r="AD21" s="70"/>
      <c r="AE21" s="151">
        <v>8736</v>
      </c>
      <c r="AF21" s="1"/>
      <c r="AG21" s="218">
        <f t="shared" si="5"/>
        <v>0</v>
      </c>
      <c r="AI21" s="151">
        <f t="shared" si="6"/>
        <v>281624</v>
      </c>
      <c r="AK21" s="142">
        <f t="shared" si="7"/>
        <v>16</v>
      </c>
      <c r="AM21" s="142">
        <f t="shared" si="8"/>
        <v>0</v>
      </c>
    </row>
    <row r="22" spans="2:41" ht="15.75" thickBot="1" x14ac:dyDescent="0.3">
      <c r="B22" s="176" t="s">
        <v>26</v>
      </c>
      <c r="C22" s="155" t="s">
        <v>29</v>
      </c>
      <c r="D22" s="77"/>
      <c r="E22" s="78">
        <v>0</v>
      </c>
      <c r="F22" s="79">
        <v>4</v>
      </c>
      <c r="G22" s="80">
        <f>13120+20290+15940+19260</f>
        <v>68610</v>
      </c>
      <c r="H22" s="81">
        <f t="shared" si="9"/>
        <v>4</v>
      </c>
      <c r="I22" s="82">
        <f t="shared" si="10"/>
        <v>68610</v>
      </c>
      <c r="J22" s="210"/>
      <c r="K22" s="211">
        <v>0</v>
      </c>
      <c r="L22" s="212"/>
      <c r="M22" s="213"/>
      <c r="N22" s="197">
        <f t="shared" si="11"/>
        <v>0</v>
      </c>
      <c r="O22" s="198">
        <f t="shared" si="12"/>
        <v>0</v>
      </c>
      <c r="P22" s="83"/>
      <c r="Q22" s="231">
        <v>0</v>
      </c>
      <c r="R22" s="236">
        <v>5</v>
      </c>
      <c r="S22" s="237">
        <f>17930+14980+19260+6430*2</f>
        <v>65030</v>
      </c>
      <c r="T22" s="87">
        <f t="shared" si="13"/>
        <v>5</v>
      </c>
      <c r="U22" s="88">
        <f t="shared" si="14"/>
        <v>65030</v>
      </c>
      <c r="V22" s="89"/>
      <c r="W22" s="60">
        <v>0</v>
      </c>
      <c r="X22" s="300">
        <v>3</v>
      </c>
      <c r="Y22" s="301">
        <f>6430+16900+13180</f>
        <v>36510</v>
      </c>
      <c r="Z22" s="92">
        <f t="shared" si="15"/>
        <v>3</v>
      </c>
      <c r="AA22" s="93">
        <f t="shared" si="17"/>
        <v>36510</v>
      </c>
      <c r="AB22" s="152">
        <f t="shared" si="3"/>
        <v>12</v>
      </c>
      <c r="AC22" s="220">
        <f t="shared" si="4"/>
        <v>170150</v>
      </c>
      <c r="AD22" s="70"/>
      <c r="AE22" s="94"/>
      <c r="AF22" s="1"/>
      <c r="AG22" s="219">
        <f t="shared" si="5"/>
        <v>0</v>
      </c>
      <c r="AI22" s="154">
        <f t="shared" si="6"/>
        <v>170150</v>
      </c>
      <c r="AK22" s="144">
        <f t="shared" si="7"/>
        <v>12</v>
      </c>
      <c r="AM22" s="144">
        <f t="shared" si="8"/>
        <v>0</v>
      </c>
    </row>
    <row r="23" spans="2:41" ht="15.75" thickBot="1" x14ac:dyDescent="0.3">
      <c r="D23" s="95">
        <f t="shared" ref="D23:I23" si="18">SUM(D8:D22)</f>
        <v>0</v>
      </c>
      <c r="E23" s="96">
        <f t="shared" si="18"/>
        <v>0</v>
      </c>
      <c r="F23" s="95">
        <f t="shared" si="18"/>
        <v>31</v>
      </c>
      <c r="G23" s="97">
        <f t="shared" si="18"/>
        <v>290314</v>
      </c>
      <c r="H23" s="279">
        <f t="shared" si="18"/>
        <v>31</v>
      </c>
      <c r="I23" s="280">
        <f t="shared" si="18"/>
        <v>290314</v>
      </c>
      <c r="J23" s="214">
        <f t="shared" ref="J23:O23" si="19">SUM(J8:J22)</f>
        <v>0</v>
      </c>
      <c r="K23" s="215">
        <f t="shared" si="19"/>
        <v>0</v>
      </c>
      <c r="L23" s="214">
        <f t="shared" si="19"/>
        <v>0</v>
      </c>
      <c r="M23" s="216">
        <f t="shared" si="19"/>
        <v>0</v>
      </c>
      <c r="N23" s="217">
        <f t="shared" si="19"/>
        <v>0</v>
      </c>
      <c r="O23" s="99">
        <f t="shared" si="19"/>
        <v>0</v>
      </c>
      <c r="P23" s="100">
        <f t="shared" ref="P23:AA23" si="20">SUM(P8:P22)</f>
        <v>0</v>
      </c>
      <c r="Q23" s="101">
        <f t="shared" si="20"/>
        <v>0</v>
      </c>
      <c r="R23" s="100">
        <f t="shared" si="20"/>
        <v>41</v>
      </c>
      <c r="S23" s="102">
        <f t="shared" si="20"/>
        <v>378234</v>
      </c>
      <c r="T23" s="103">
        <f t="shared" si="20"/>
        <v>41</v>
      </c>
      <c r="U23" s="277">
        <f t="shared" si="20"/>
        <v>378234</v>
      </c>
      <c r="V23" s="105">
        <f t="shared" si="20"/>
        <v>0</v>
      </c>
      <c r="W23" s="106">
        <f t="shared" si="20"/>
        <v>0</v>
      </c>
      <c r="X23" s="105">
        <f t="shared" si="20"/>
        <v>30</v>
      </c>
      <c r="Y23" s="107">
        <f t="shared" si="20"/>
        <v>236370</v>
      </c>
      <c r="Z23" s="108">
        <f t="shared" si="20"/>
        <v>30</v>
      </c>
      <c r="AA23" s="278">
        <f t="shared" si="20"/>
        <v>236370</v>
      </c>
      <c r="AB23" s="109" t="s">
        <v>9</v>
      </c>
      <c r="AC23" s="43">
        <f>SUM(AC8:AC22)</f>
        <v>904918</v>
      </c>
      <c r="AD23" s="70"/>
      <c r="AE23" s="1">
        <f>SUM(AE8:AE22)</f>
        <v>23272</v>
      </c>
      <c r="AF23" s="1"/>
      <c r="AI23" s="110"/>
      <c r="AK23" s="1">
        <f>SUM(AK8:AK22)</f>
        <v>102</v>
      </c>
      <c r="AM23" s="1">
        <f>SUM(AM8:AM22)</f>
        <v>0</v>
      </c>
      <c r="AO23" s="1">
        <f>+AK23+AM23</f>
        <v>102</v>
      </c>
    </row>
    <row r="24" spans="2:41" x14ac:dyDescent="0.25">
      <c r="G24" s="111"/>
      <c r="H24" s="111"/>
      <c r="I24" s="111"/>
      <c r="M24" s="111"/>
      <c r="N24" s="111"/>
      <c r="O24" s="111"/>
      <c r="P24" s="111"/>
      <c r="Q24" s="111"/>
      <c r="R24" s="112">
        <f>X23+F23+R23+L23</f>
        <v>102</v>
      </c>
      <c r="S24" s="113">
        <f>G23+Y23+S23+M23</f>
        <v>904918</v>
      </c>
      <c r="T24" s="111"/>
      <c r="U24" s="111"/>
      <c r="V24" s="111"/>
      <c r="W24" s="111"/>
      <c r="X24" s="111"/>
      <c r="Y24" s="111"/>
      <c r="Z24" s="111"/>
      <c r="AA24" s="111"/>
      <c r="AC24" s="70">
        <f>AA23+U23+I23+O23</f>
        <v>904918</v>
      </c>
      <c r="AE24" s="1"/>
      <c r="AF24" s="1"/>
    </row>
    <row r="25" spans="2:41" x14ac:dyDescent="0.25">
      <c r="D25" s="114" t="s">
        <v>30</v>
      </c>
      <c r="E25" s="114"/>
      <c r="G25" s="114"/>
      <c r="H25" s="114"/>
      <c r="I25" s="114"/>
      <c r="J25" s="114" t="s">
        <v>30</v>
      </c>
      <c r="K25" s="114"/>
      <c r="M25" s="114"/>
      <c r="N25" s="114"/>
      <c r="O25" s="114"/>
      <c r="P25" s="114"/>
      <c r="Q25" s="114"/>
      <c r="R25" s="114"/>
      <c r="S25" s="114"/>
      <c r="T25" s="114"/>
      <c r="U25" s="114"/>
      <c r="AE25" s="1"/>
      <c r="AF25" s="1"/>
    </row>
    <row r="26" spans="2:41" x14ac:dyDescent="0.25">
      <c r="D26" s="114"/>
      <c r="E26" s="114"/>
      <c r="J26" s="114"/>
      <c r="K26" s="114"/>
      <c r="AE26" s="1"/>
      <c r="AF26" s="1"/>
    </row>
    <row r="27" spans="2:41" x14ac:dyDescent="0.25">
      <c r="C27" s="115">
        <v>20000</v>
      </c>
      <c r="D27" s="115"/>
      <c r="E27" s="115"/>
      <c r="F27" s="116"/>
      <c r="G27" s="117"/>
      <c r="H27" s="118"/>
      <c r="I27" s="119">
        <v>80000</v>
      </c>
      <c r="J27" s="115"/>
      <c r="K27" s="115"/>
      <c r="L27" s="116"/>
      <c r="M27" s="117"/>
      <c r="N27" s="118"/>
      <c r="O27" s="119"/>
      <c r="P27" s="119"/>
      <c r="Q27" s="119"/>
      <c r="R27" s="119"/>
      <c r="S27" s="119"/>
      <c r="T27" s="119"/>
      <c r="U27" s="119">
        <v>160000</v>
      </c>
      <c r="V27" s="119"/>
      <c r="W27" s="119"/>
      <c r="X27" s="120"/>
      <c r="Y27" s="121"/>
      <c r="Z27" s="120"/>
      <c r="AA27" s="119">
        <v>40000</v>
      </c>
      <c r="AB27" s="122"/>
      <c r="AC27" s="122"/>
    </row>
    <row r="28" spans="2:41" x14ac:dyDescent="0.25">
      <c r="C28" s="115">
        <v>10000</v>
      </c>
      <c r="D28" s="115"/>
      <c r="E28" s="115"/>
      <c r="F28" s="116"/>
      <c r="G28" s="117"/>
      <c r="H28" s="118"/>
      <c r="I28" s="119">
        <v>0</v>
      </c>
      <c r="J28" s="115"/>
      <c r="K28" s="115"/>
      <c r="L28" s="116"/>
      <c r="M28" s="117"/>
      <c r="N28" s="118"/>
      <c r="O28" s="119"/>
      <c r="P28" s="119"/>
      <c r="Q28" s="119"/>
      <c r="R28" s="119"/>
      <c r="S28" s="119"/>
      <c r="T28" s="119"/>
      <c r="U28" s="119">
        <v>110000</v>
      </c>
      <c r="V28" s="119"/>
      <c r="W28" s="119"/>
      <c r="X28" s="120"/>
      <c r="Y28" s="122"/>
      <c r="Z28" s="120"/>
      <c r="AA28" s="119">
        <v>170000</v>
      </c>
      <c r="AB28" s="122"/>
      <c r="AC28" s="122"/>
    </row>
    <row r="29" spans="2:41" x14ac:dyDescent="0.25">
      <c r="C29" s="115">
        <v>5000</v>
      </c>
      <c r="D29" s="115"/>
      <c r="E29" s="115"/>
      <c r="F29" s="116"/>
      <c r="G29" s="117"/>
      <c r="H29" s="118"/>
      <c r="I29" s="119">
        <v>5000</v>
      </c>
      <c r="J29" s="115"/>
      <c r="K29" s="115"/>
      <c r="L29" s="116"/>
      <c r="M29" s="117"/>
      <c r="N29" s="118"/>
      <c r="O29" s="119"/>
      <c r="P29" s="119"/>
      <c r="Q29" s="119"/>
      <c r="R29" s="119"/>
      <c r="S29" s="119"/>
      <c r="T29" s="119"/>
      <c r="U29" s="119">
        <v>105000</v>
      </c>
      <c r="V29" s="119"/>
      <c r="W29" s="119"/>
      <c r="X29" s="120"/>
      <c r="Y29" s="121"/>
      <c r="Z29" s="120"/>
      <c r="AA29" s="119">
        <v>25000</v>
      </c>
      <c r="AB29" s="122"/>
      <c r="AC29" s="122"/>
    </row>
    <row r="30" spans="2:41" x14ac:dyDescent="0.25">
      <c r="C30" s="115">
        <v>2000</v>
      </c>
      <c r="D30" s="115"/>
      <c r="E30" s="115"/>
      <c r="F30" s="116"/>
      <c r="G30" s="117"/>
      <c r="H30" s="118"/>
      <c r="I30" s="119">
        <v>0</v>
      </c>
      <c r="J30" s="115"/>
      <c r="K30" s="115"/>
      <c r="L30" s="116"/>
      <c r="M30" s="117"/>
      <c r="N30" s="118"/>
      <c r="O30" s="119"/>
      <c r="P30" s="119"/>
      <c r="Q30" s="119"/>
      <c r="R30" s="119"/>
      <c r="S30" s="119"/>
      <c r="T30" s="119"/>
      <c r="U30" s="119">
        <v>2000</v>
      </c>
      <c r="V30" s="119"/>
      <c r="W30" s="119"/>
      <c r="X30" s="120"/>
      <c r="Y30" s="121"/>
      <c r="Z30" s="120"/>
      <c r="AA30" s="119">
        <v>0</v>
      </c>
      <c r="AB30" s="122"/>
      <c r="AC30" s="122"/>
      <c r="AD30" s="123"/>
      <c r="AE30" s="1"/>
      <c r="AF30" s="1"/>
    </row>
    <row r="31" spans="2:41" x14ac:dyDescent="0.25">
      <c r="C31" s="115">
        <v>1000</v>
      </c>
      <c r="D31" s="115"/>
      <c r="E31" s="115"/>
      <c r="F31" s="116"/>
      <c r="G31" s="117"/>
      <c r="H31" s="118"/>
      <c r="I31" s="124">
        <v>3000</v>
      </c>
      <c r="J31" s="115"/>
      <c r="K31" s="115"/>
      <c r="L31" s="116"/>
      <c r="M31" s="117"/>
      <c r="N31" s="118"/>
      <c r="O31" s="124"/>
      <c r="P31" s="124"/>
      <c r="Q31" s="124"/>
      <c r="R31" s="124"/>
      <c r="S31" s="124"/>
      <c r="T31" s="124"/>
      <c r="U31" s="124">
        <v>1000</v>
      </c>
      <c r="V31" s="124"/>
      <c r="W31" s="124"/>
      <c r="X31" s="120"/>
      <c r="Y31" s="121"/>
      <c r="Z31" s="120"/>
      <c r="AA31" s="124">
        <v>1000</v>
      </c>
      <c r="AB31" s="122"/>
      <c r="AC31" s="122"/>
      <c r="AE31" s="1"/>
      <c r="AF31" s="1"/>
    </row>
    <row r="32" spans="2:41" x14ac:dyDescent="0.25">
      <c r="C32" s="115">
        <v>500</v>
      </c>
      <c r="D32" s="115"/>
      <c r="E32" s="115"/>
      <c r="F32" s="116"/>
      <c r="G32" s="117"/>
      <c r="H32" s="118"/>
      <c r="I32" s="119">
        <v>0</v>
      </c>
      <c r="J32" s="115"/>
      <c r="K32" s="115"/>
      <c r="L32" s="116"/>
      <c r="M32" s="117"/>
      <c r="N32" s="118"/>
      <c r="O32" s="119"/>
      <c r="P32" s="119"/>
      <c r="Q32" s="119"/>
      <c r="R32" s="119"/>
      <c r="S32" s="119"/>
      <c r="T32" s="119"/>
      <c r="U32" s="119">
        <v>0</v>
      </c>
      <c r="V32" s="119"/>
      <c r="W32" s="119"/>
      <c r="X32" s="120"/>
      <c r="Y32" s="121"/>
      <c r="Z32" s="120"/>
      <c r="AA32" s="119">
        <v>0</v>
      </c>
      <c r="AB32" s="121"/>
      <c r="AC32" s="121"/>
      <c r="AE32" s="1"/>
      <c r="AF32" s="1"/>
    </row>
    <row r="33" spans="2:33" x14ac:dyDescent="0.25">
      <c r="C33" s="115">
        <v>100</v>
      </c>
      <c r="D33" s="115"/>
      <c r="E33" s="115"/>
      <c r="F33" s="116"/>
      <c r="G33" s="117"/>
      <c r="H33" s="118"/>
      <c r="I33" s="119">
        <v>0</v>
      </c>
      <c r="J33" s="115"/>
      <c r="K33" s="115"/>
      <c r="L33" s="116"/>
      <c r="M33" s="117"/>
      <c r="N33" s="118"/>
      <c r="O33" s="119"/>
      <c r="P33" s="119"/>
      <c r="Q33" s="119"/>
      <c r="R33" s="119"/>
      <c r="S33" s="119"/>
      <c r="T33" s="119"/>
      <c r="U33" s="119">
        <v>200</v>
      </c>
      <c r="V33" s="119"/>
      <c r="W33" s="119"/>
      <c r="X33" s="120"/>
      <c r="Y33" s="121"/>
      <c r="Z33" s="120"/>
      <c r="AA33" s="119">
        <v>300</v>
      </c>
      <c r="AB33" s="121"/>
      <c r="AC33" s="121"/>
      <c r="AE33" s="1"/>
      <c r="AF33" s="1"/>
    </row>
    <row r="34" spans="2:33" x14ac:dyDescent="0.25">
      <c r="C34" s="115">
        <v>50</v>
      </c>
      <c r="D34" s="115"/>
      <c r="E34" s="115"/>
      <c r="F34" s="116"/>
      <c r="G34" s="117"/>
      <c r="H34" s="118"/>
      <c r="I34" s="119">
        <v>50</v>
      </c>
      <c r="J34" s="115"/>
      <c r="K34" s="115"/>
      <c r="L34" s="116"/>
      <c r="M34" s="117"/>
      <c r="N34" s="118"/>
      <c r="O34" s="119"/>
      <c r="P34" s="119"/>
      <c r="Q34" s="119"/>
      <c r="R34" s="119"/>
      <c r="S34" s="119"/>
      <c r="T34" s="119"/>
      <c r="U34" s="119">
        <v>0</v>
      </c>
      <c r="V34" s="119"/>
      <c r="W34" s="119"/>
      <c r="X34" s="120"/>
      <c r="Y34" s="121"/>
      <c r="Z34" s="120"/>
      <c r="AA34" s="119">
        <v>50</v>
      </c>
      <c r="AB34" s="121"/>
      <c r="AC34" s="121"/>
      <c r="AE34" s="1"/>
      <c r="AF34" s="1"/>
    </row>
    <row r="35" spans="2:33" x14ac:dyDescent="0.25">
      <c r="C35" s="115">
        <v>10</v>
      </c>
      <c r="D35" s="115"/>
      <c r="E35" s="115"/>
      <c r="F35" s="116"/>
      <c r="G35" s="117"/>
      <c r="H35" s="118"/>
      <c r="I35" s="119">
        <v>20</v>
      </c>
      <c r="J35" s="115"/>
      <c r="K35" s="115"/>
      <c r="L35" s="116"/>
      <c r="M35" s="117"/>
      <c r="N35" s="118"/>
      <c r="O35" s="119"/>
      <c r="P35" s="119"/>
      <c r="Q35" s="119"/>
      <c r="R35" s="119"/>
      <c r="S35" s="119"/>
      <c r="T35" s="119"/>
      <c r="U35" s="119">
        <v>30</v>
      </c>
      <c r="V35" s="119"/>
      <c r="W35" s="119"/>
      <c r="X35" s="120"/>
      <c r="Y35" s="121"/>
      <c r="Z35" s="120"/>
      <c r="AA35" s="119">
        <v>20</v>
      </c>
      <c r="AB35" s="121"/>
      <c r="AC35" s="121"/>
      <c r="AE35" s="1"/>
      <c r="AF35" s="1"/>
      <c r="AG35" s="1" t="s">
        <v>25</v>
      </c>
    </row>
    <row r="36" spans="2:33" x14ac:dyDescent="0.25">
      <c r="C36" s="1" t="s">
        <v>32</v>
      </c>
      <c r="E36" s="131"/>
      <c r="G36" s="125"/>
      <c r="H36" s="118"/>
      <c r="I36" s="124">
        <f>145360+56880+4</f>
        <v>202244</v>
      </c>
      <c r="K36" s="131"/>
      <c r="M36" s="125"/>
      <c r="N36" s="118"/>
      <c r="O36" s="124"/>
      <c r="P36" s="124"/>
      <c r="Q36" s="124"/>
      <c r="R36" s="124"/>
      <c r="S36" s="124"/>
      <c r="T36" s="124"/>
      <c r="U36" s="124">
        <v>4</v>
      </c>
      <c r="V36" s="124"/>
      <c r="W36" s="124"/>
      <c r="X36" s="120"/>
      <c r="Y36" s="124"/>
      <c r="Z36" s="120"/>
      <c r="AA36" s="124"/>
      <c r="AB36" s="124"/>
      <c r="AC36" s="124"/>
      <c r="AE36" s="1"/>
      <c r="AF36" s="1"/>
    </row>
    <row r="37" spans="2:33" s="114" customFormat="1" ht="15.75" x14ac:dyDescent="0.25">
      <c r="F37" s="126"/>
      <c r="G37" s="127"/>
      <c r="I37" s="128">
        <f>SUM(I27:I36)</f>
        <v>290314</v>
      </c>
      <c r="L37" s="126"/>
      <c r="M37" s="127"/>
      <c r="O37" s="128">
        <f>SUM(O27:O36)</f>
        <v>0</v>
      </c>
      <c r="P37" s="116"/>
      <c r="Q37" s="116"/>
      <c r="R37" s="116"/>
      <c r="S37" s="116"/>
      <c r="T37" s="116"/>
      <c r="U37" s="128">
        <f>SUM(U27:U36)</f>
        <v>378234</v>
      </c>
      <c r="V37" s="116"/>
      <c r="W37" s="116"/>
      <c r="X37" s="123"/>
      <c r="Y37" s="116"/>
      <c r="Z37" s="123"/>
      <c r="AA37" s="128">
        <f>SUM(AA27:AA36)</f>
        <v>236370</v>
      </c>
      <c r="AB37" s="129"/>
      <c r="AC37" s="125">
        <f>+I37+U37+AA37+O37</f>
        <v>904918</v>
      </c>
    </row>
    <row r="38" spans="2:33" x14ac:dyDescent="0.25">
      <c r="B38" s="2"/>
      <c r="C38" s="2"/>
      <c r="D38" s="2"/>
      <c r="E38" s="70"/>
      <c r="F38" s="2"/>
      <c r="G38" s="2"/>
      <c r="H38" s="2"/>
      <c r="I38" s="2"/>
      <c r="J38" s="2"/>
      <c r="K38" s="70"/>
      <c r="L38" s="2"/>
      <c r="M38" s="2"/>
      <c r="N38" s="2"/>
      <c r="O38" s="2"/>
      <c r="P38" s="2"/>
      <c r="Q38" s="2"/>
      <c r="R38" s="2"/>
      <c r="S38" s="2"/>
      <c r="T38" s="2"/>
      <c r="U38" s="2"/>
      <c r="X38" s="70"/>
      <c r="AB38" s="130"/>
      <c r="AC38" s="131">
        <f>AC37-AC24</f>
        <v>0</v>
      </c>
      <c r="AD38" s="1"/>
      <c r="AE38" s="1"/>
      <c r="AF38" s="1"/>
    </row>
    <row r="39" spans="2:33" x14ac:dyDescent="0.25">
      <c r="B39" s="2"/>
      <c r="C39" s="2"/>
      <c r="D39" s="2"/>
      <c r="E39" s="70"/>
      <c r="F39" s="2"/>
      <c r="G39" s="2"/>
      <c r="H39" s="2"/>
      <c r="I39" s="129"/>
      <c r="J39" s="2"/>
      <c r="K39" s="70"/>
      <c r="L39" s="2"/>
      <c r="M39" s="2"/>
      <c r="N39" s="2"/>
      <c r="O39" s="129"/>
      <c r="P39" s="2"/>
      <c r="Q39" s="2"/>
      <c r="R39" s="2"/>
      <c r="S39" s="2"/>
      <c r="T39" s="2"/>
      <c r="U39" s="129"/>
      <c r="X39" s="70"/>
      <c r="AB39" s="130"/>
      <c r="AC39" s="131"/>
      <c r="AD39" s="1"/>
      <c r="AE39" s="1"/>
      <c r="AF39" s="1"/>
    </row>
    <row r="40" spans="2:33" x14ac:dyDescent="0.25">
      <c r="B40" s="2"/>
      <c r="C40" s="2"/>
      <c r="D40" s="2"/>
      <c r="E40" s="129"/>
      <c r="F40" s="2"/>
      <c r="G40" s="129"/>
      <c r="H40" s="129"/>
      <c r="I40" s="132"/>
      <c r="J40" s="2"/>
      <c r="K40" s="129"/>
      <c r="L40" s="2"/>
      <c r="M40" s="129"/>
      <c r="N40" s="129"/>
      <c r="O40" s="132"/>
      <c r="P40" s="132"/>
      <c r="Q40" s="132"/>
      <c r="R40" s="132"/>
      <c r="S40" s="132"/>
      <c r="T40" s="132"/>
      <c r="U40" s="132"/>
      <c r="V40" s="165"/>
      <c r="W40" s="165"/>
      <c r="AA40" s="129"/>
      <c r="AC40" s="1"/>
      <c r="AD40" s="1"/>
      <c r="AE40" s="1"/>
      <c r="AF40" s="1"/>
    </row>
    <row r="41" spans="2:33" x14ac:dyDescent="0.25">
      <c r="E41" s="110"/>
      <c r="K41" s="110"/>
      <c r="V41" s="165"/>
      <c r="W41" s="165"/>
      <c r="AE41" s="1"/>
      <c r="AF41" s="1"/>
    </row>
    <row r="42" spans="2:33" x14ac:dyDescent="0.25">
      <c r="V42" s="165"/>
      <c r="W42" s="165"/>
      <c r="Y42" s="129"/>
      <c r="Z42" s="129"/>
      <c r="AA42" s="129"/>
      <c r="AC42" s="130"/>
    </row>
    <row r="43" spans="2:33" x14ac:dyDescent="0.25">
      <c r="V43" s="165"/>
      <c r="W43" s="165"/>
    </row>
  </sheetData>
  <mergeCells count="11">
    <mergeCell ref="B6:B7"/>
    <mergeCell ref="C6:C7"/>
    <mergeCell ref="D6:I6"/>
    <mergeCell ref="P6:U6"/>
    <mergeCell ref="V6:AA6"/>
    <mergeCell ref="J6:O6"/>
    <mergeCell ref="AB6:AB7"/>
    <mergeCell ref="AC6:AC7"/>
    <mergeCell ref="AE6:AE7"/>
    <mergeCell ref="W3:Z3"/>
    <mergeCell ref="C4:D4"/>
  </mergeCells>
  <pageMargins left="0" right="0" top="0" bottom="0" header="0" footer="0"/>
  <pageSetup paperSize="9" scale="68" orientation="landscape" horizontalDpi="0" verticalDpi="0" r:id="rId1"/>
  <ignoredErrors>
    <ignoredError sqref="Z16:AA16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O43"/>
  <sheetViews>
    <sheetView topLeftCell="A16" workbookViewId="0">
      <pane xSplit="3" topLeftCell="D1" activePane="topRight" state="frozen"/>
      <selection activeCell="G33" sqref="G33"/>
      <selection pane="topRight" activeCell="X31" sqref="X31"/>
    </sheetView>
  </sheetViews>
  <sheetFormatPr baseColWidth="10" defaultRowHeight="15" x14ac:dyDescent="0.25"/>
  <cols>
    <col min="1" max="1" width="1.7109375" style="1" customWidth="1"/>
    <col min="2" max="2" width="10" style="1" customWidth="1"/>
    <col min="3" max="3" width="29.140625" style="1" customWidth="1"/>
    <col min="4" max="4" width="5.7109375" style="1" customWidth="1"/>
    <col min="5" max="5" width="10.7109375" style="1" customWidth="1"/>
    <col min="6" max="6" width="5.7109375" style="1" customWidth="1"/>
    <col min="7" max="7" width="10.7109375" style="1" customWidth="1"/>
    <col min="8" max="8" width="5.7109375" style="1" customWidth="1"/>
    <col min="9" max="9" width="10.7109375" style="1" customWidth="1"/>
    <col min="10" max="10" width="5.7109375" style="1" hidden="1" customWidth="1"/>
    <col min="11" max="11" width="10.7109375" style="1" hidden="1" customWidth="1"/>
    <col min="12" max="12" width="5.7109375" style="1" hidden="1" customWidth="1"/>
    <col min="13" max="13" width="10.7109375" style="1" hidden="1" customWidth="1"/>
    <col min="14" max="14" width="5.7109375" style="1" hidden="1" customWidth="1"/>
    <col min="15" max="15" width="10.7109375" style="1" hidden="1" customWidth="1"/>
    <col min="16" max="16" width="5.7109375" style="2" customWidth="1"/>
    <col min="17" max="17" width="10.7109375" style="2" customWidth="1"/>
    <col min="18" max="18" width="5.7109375" style="2" customWidth="1"/>
    <col min="19" max="19" width="10.7109375" style="2" customWidth="1"/>
    <col min="20" max="20" width="5.7109375" style="2" customWidth="1"/>
    <col min="21" max="21" width="10.7109375" style="2" customWidth="1"/>
    <col min="22" max="22" width="5.7109375" style="2" customWidth="1"/>
    <col min="23" max="23" width="10.7109375" style="2" customWidth="1"/>
    <col min="24" max="24" width="5.7109375" style="2" customWidth="1"/>
    <col min="25" max="25" width="10.7109375" style="2" customWidth="1"/>
    <col min="26" max="26" width="5.7109375" style="2" customWidth="1"/>
    <col min="27" max="27" width="10.7109375" style="1" customWidth="1"/>
    <col min="28" max="28" width="9.5703125" style="1" customWidth="1"/>
    <col min="29" max="29" width="14.5703125" style="1" bestFit="1" customWidth="1"/>
    <col min="30" max="30" width="3.28515625" style="1" customWidth="1"/>
    <col min="31" max="31" width="11.42578125" style="1"/>
    <col min="32" max="32" width="3.7109375" style="1" customWidth="1"/>
    <col min="33" max="33" width="10.140625" style="1" customWidth="1"/>
    <col min="34" max="34" width="3.7109375" style="1" customWidth="1"/>
    <col min="35" max="35" width="11.42578125" style="1"/>
    <col min="36" max="36" width="3.7109375" style="1" customWidth="1"/>
    <col min="37" max="37" width="5.7109375" style="1" customWidth="1"/>
    <col min="38" max="38" width="3.7109375" style="1" customWidth="1"/>
    <col min="39" max="39" width="5.7109375" style="1" customWidth="1"/>
    <col min="40" max="40" width="3.7109375" style="1" customWidth="1"/>
    <col min="41" max="41" width="5.7109375" style="1" customWidth="1"/>
    <col min="42" max="16384" width="11.42578125" style="1"/>
  </cols>
  <sheetData>
    <row r="1" spans="1:39" x14ac:dyDescent="0.25">
      <c r="Y1" s="1"/>
      <c r="Z1" s="1"/>
    </row>
    <row r="2" spans="1:39" ht="21" x14ac:dyDescent="0.35">
      <c r="B2" s="3" t="s">
        <v>0</v>
      </c>
      <c r="G2" s="1" t="s">
        <v>25</v>
      </c>
      <c r="P2" s="1"/>
      <c r="Q2" s="4"/>
      <c r="Z2" s="1"/>
    </row>
    <row r="3" spans="1:39" x14ac:dyDescent="0.25">
      <c r="A3" s="5"/>
      <c r="B3" s="6" t="s">
        <v>1</v>
      </c>
      <c r="C3" s="7"/>
      <c r="D3" s="7"/>
      <c r="E3" s="7"/>
      <c r="F3" s="7"/>
      <c r="P3" s="1"/>
      <c r="Q3" s="353"/>
      <c r="R3" s="353"/>
      <c r="S3" s="353"/>
      <c r="T3" s="353"/>
      <c r="U3" s="281"/>
      <c r="V3" s="281"/>
      <c r="Z3" s="1"/>
    </row>
    <row r="4" spans="1:39" x14ac:dyDescent="0.25">
      <c r="B4" s="282" t="s">
        <v>2</v>
      </c>
      <c r="C4" s="354" t="s">
        <v>49</v>
      </c>
      <c r="D4" s="355"/>
      <c r="E4" s="282"/>
      <c r="F4" s="282"/>
      <c r="P4" s="1"/>
      <c r="Q4" s="9"/>
      <c r="R4" s="10"/>
      <c r="S4" s="9"/>
      <c r="T4" s="9"/>
      <c r="U4" s="9"/>
      <c r="V4" s="9"/>
      <c r="Z4" s="1"/>
    </row>
    <row r="5" spans="1:39" ht="15.75" thickBot="1" x14ac:dyDescent="0.3">
      <c r="A5" s="282"/>
      <c r="B5" s="282"/>
      <c r="C5" s="282"/>
      <c r="D5" s="282"/>
      <c r="E5" s="282"/>
      <c r="J5" s="282"/>
      <c r="K5" s="282"/>
      <c r="P5" s="1"/>
      <c r="Q5" s="1"/>
      <c r="R5" s="1"/>
      <c r="S5" s="1"/>
      <c r="T5" s="1"/>
      <c r="U5" s="1"/>
      <c r="V5" s="9"/>
      <c r="W5" s="9"/>
      <c r="X5" s="9"/>
      <c r="Y5" s="9"/>
      <c r="Z5" s="9"/>
      <c r="AA5" s="9"/>
      <c r="AB5" s="2"/>
      <c r="AC5" s="2"/>
      <c r="AD5" s="2"/>
    </row>
    <row r="6" spans="1:39" ht="27.75" customHeight="1" thickBot="1" x14ac:dyDescent="0.3">
      <c r="B6" s="356" t="s">
        <v>3</v>
      </c>
      <c r="C6" s="343" t="s">
        <v>4</v>
      </c>
      <c r="D6" s="358" t="s">
        <v>47</v>
      </c>
      <c r="E6" s="359"/>
      <c r="F6" s="360"/>
      <c r="G6" s="360"/>
      <c r="H6" s="360"/>
      <c r="I6" s="361"/>
      <c r="J6" s="370" t="s">
        <v>37</v>
      </c>
      <c r="K6" s="371"/>
      <c r="L6" s="372"/>
      <c r="M6" s="372"/>
      <c r="N6" s="372"/>
      <c r="O6" s="373"/>
      <c r="P6" s="362" t="s">
        <v>42</v>
      </c>
      <c r="Q6" s="363"/>
      <c r="R6" s="364"/>
      <c r="S6" s="364"/>
      <c r="T6" s="364"/>
      <c r="U6" s="365"/>
      <c r="V6" s="366" t="s">
        <v>55</v>
      </c>
      <c r="W6" s="367"/>
      <c r="X6" s="368"/>
      <c r="Y6" s="368"/>
      <c r="Z6" s="368"/>
      <c r="AA6" s="369"/>
      <c r="AB6" s="349" t="s">
        <v>5</v>
      </c>
      <c r="AC6" s="349" t="s">
        <v>6</v>
      </c>
      <c r="AD6" s="2"/>
      <c r="AE6" s="351" t="s">
        <v>7</v>
      </c>
      <c r="AF6" s="2"/>
    </row>
    <row r="7" spans="1:39" ht="27.75" thickBot="1" x14ac:dyDescent="0.3">
      <c r="B7" s="357"/>
      <c r="C7" s="344"/>
      <c r="D7" s="302" t="s">
        <v>8</v>
      </c>
      <c r="E7" s="303" t="s">
        <v>9</v>
      </c>
      <c r="F7" s="304" t="s">
        <v>8</v>
      </c>
      <c r="G7" s="303" t="s">
        <v>9</v>
      </c>
      <c r="H7" s="302" t="s">
        <v>5</v>
      </c>
      <c r="I7" s="303" t="s">
        <v>10</v>
      </c>
      <c r="J7" s="190" t="s">
        <v>8</v>
      </c>
      <c r="K7" s="192" t="s">
        <v>9</v>
      </c>
      <c r="L7" s="191" t="s">
        <v>8</v>
      </c>
      <c r="M7" s="192" t="s">
        <v>9</v>
      </c>
      <c r="N7" s="190" t="s">
        <v>5</v>
      </c>
      <c r="O7" s="192" t="s">
        <v>10</v>
      </c>
      <c r="P7" s="15" t="s">
        <v>8</v>
      </c>
      <c r="Q7" s="16" t="s">
        <v>9</v>
      </c>
      <c r="R7" s="17" t="s">
        <v>8</v>
      </c>
      <c r="S7" s="16" t="s">
        <v>9</v>
      </c>
      <c r="T7" s="15" t="s">
        <v>5</v>
      </c>
      <c r="U7" s="16" t="s">
        <v>10</v>
      </c>
      <c r="V7" s="18" t="s">
        <v>8</v>
      </c>
      <c r="W7" s="19" t="s">
        <v>9</v>
      </c>
      <c r="X7" s="20" t="s">
        <v>8</v>
      </c>
      <c r="Y7" s="21" t="s">
        <v>9</v>
      </c>
      <c r="Z7" s="18" t="s">
        <v>5</v>
      </c>
      <c r="AA7" s="21" t="s">
        <v>10</v>
      </c>
      <c r="AB7" s="350"/>
      <c r="AC7" s="350"/>
      <c r="AD7" s="2"/>
      <c r="AE7" s="352"/>
      <c r="AG7" s="22" t="s">
        <v>11</v>
      </c>
      <c r="AI7" s="22" t="s">
        <v>12</v>
      </c>
    </row>
    <row r="8" spans="1:39" x14ac:dyDescent="0.25">
      <c r="B8" s="173">
        <v>6320</v>
      </c>
      <c r="C8" s="157" t="s">
        <v>13</v>
      </c>
      <c r="D8" s="24"/>
      <c r="E8" s="25">
        <f>+D8*B8</f>
        <v>0</v>
      </c>
      <c r="F8" s="26"/>
      <c r="G8" s="27"/>
      <c r="H8" s="28">
        <f>D8+F8</f>
        <v>0</v>
      </c>
      <c r="I8" s="29">
        <f>E8+G8</f>
        <v>0</v>
      </c>
      <c r="J8" s="199"/>
      <c r="K8" s="200">
        <f>+J8*H8</f>
        <v>0</v>
      </c>
      <c r="L8" s="201"/>
      <c r="M8" s="202"/>
      <c r="N8" s="193">
        <f>J8+L8</f>
        <v>0</v>
      </c>
      <c r="O8" s="194">
        <f>K8+M8</f>
        <v>0</v>
      </c>
      <c r="P8" s="30"/>
      <c r="Q8" s="31">
        <f>+P8*B8</f>
        <v>0</v>
      </c>
      <c r="R8" s="32">
        <v>17</v>
      </c>
      <c r="S8" s="33">
        <f>6320*17</f>
        <v>107440</v>
      </c>
      <c r="T8" s="34">
        <f>P8+R8</f>
        <v>17</v>
      </c>
      <c r="U8" s="35">
        <f>Q8+S8</f>
        <v>107440</v>
      </c>
      <c r="V8" s="36"/>
      <c r="W8" s="37">
        <f t="shared" ref="W8:W19" si="0">+V8*B8</f>
        <v>0</v>
      </c>
      <c r="X8" s="38">
        <v>8</v>
      </c>
      <c r="Y8" s="39">
        <f>6320*8</f>
        <v>50560</v>
      </c>
      <c r="Z8" s="40">
        <f>V8+X8</f>
        <v>8</v>
      </c>
      <c r="AA8" s="41">
        <f>Y8+W8</f>
        <v>50560</v>
      </c>
      <c r="AB8" s="152">
        <f>+D8+F8+P8+R8+V8+X8+L8+J8</f>
        <v>25</v>
      </c>
      <c r="AC8" s="220">
        <f>+E8+G8+Q8+S8+W8+Y8+K8+M8</f>
        <v>158000</v>
      </c>
      <c r="AD8" s="44"/>
      <c r="AE8" s="45"/>
      <c r="AG8" s="187">
        <f>E8+W8+Q8+K8</f>
        <v>0</v>
      </c>
      <c r="AI8" s="156">
        <f>G8+Y8+S8+M8</f>
        <v>158000</v>
      </c>
      <c r="AK8" s="139">
        <f>F8+R8+X8+L8</f>
        <v>25</v>
      </c>
      <c r="AM8" s="139">
        <f>+D8+P8+V8+J8</f>
        <v>0</v>
      </c>
    </row>
    <row r="9" spans="1:39" x14ac:dyDescent="0.25">
      <c r="B9" s="174">
        <v>6320</v>
      </c>
      <c r="C9" s="153" t="s">
        <v>14</v>
      </c>
      <c r="D9" s="47"/>
      <c r="E9" s="48">
        <f t="shared" ref="E9:E19" si="1">+D9*B9</f>
        <v>0</v>
      </c>
      <c r="F9" s="49">
        <v>3</v>
      </c>
      <c r="G9" s="50">
        <f>6320*3</f>
        <v>18960</v>
      </c>
      <c r="H9" s="51">
        <f>D9+F9</f>
        <v>3</v>
      </c>
      <c r="I9" s="52">
        <f>G9+E9</f>
        <v>18960</v>
      </c>
      <c r="J9" s="203"/>
      <c r="K9" s="204">
        <f t="shared" ref="K9:K15" si="2">+J9*H9</f>
        <v>0</v>
      </c>
      <c r="L9" s="205"/>
      <c r="M9" s="206"/>
      <c r="N9" s="195">
        <f>J9+L9</f>
        <v>0</v>
      </c>
      <c r="O9" s="196">
        <f>M9+K9</f>
        <v>0</v>
      </c>
      <c r="P9" s="53"/>
      <c r="Q9" s="54">
        <f t="shared" ref="Q9:Q19" si="3">+P9*B9</f>
        <v>0</v>
      </c>
      <c r="R9" s="55">
        <v>4</v>
      </c>
      <c r="S9" s="56">
        <f>6320*4</f>
        <v>25280</v>
      </c>
      <c r="T9" s="57">
        <f>P9+R9</f>
        <v>4</v>
      </c>
      <c r="U9" s="58">
        <f>S9+Q9</f>
        <v>25280</v>
      </c>
      <c r="V9" s="59"/>
      <c r="W9" s="60">
        <f t="shared" si="0"/>
        <v>0</v>
      </c>
      <c r="X9" s="61">
        <v>3</v>
      </c>
      <c r="Y9" s="62">
        <f>6320*2+948</f>
        <v>13588</v>
      </c>
      <c r="Z9" s="63">
        <f>V9+X9</f>
        <v>3</v>
      </c>
      <c r="AA9" s="41">
        <f>Y9+W9</f>
        <v>13588</v>
      </c>
      <c r="AB9" s="152">
        <f t="shared" ref="AB9:AB22" si="4">+D9+F9+P9+R9+V9+X9+L9+J9</f>
        <v>10</v>
      </c>
      <c r="AC9" s="220">
        <f t="shared" ref="AC9:AC22" si="5">+E9+G9+Q9+S9+W9+Y9+K9+M9</f>
        <v>57828</v>
      </c>
      <c r="AD9" s="44"/>
      <c r="AE9" s="151">
        <v>5372</v>
      </c>
      <c r="AG9" s="218">
        <f t="shared" ref="AG9:AG22" si="6">E9+W9+Q9+K9</f>
        <v>0</v>
      </c>
      <c r="AI9" s="151">
        <f t="shared" ref="AI9:AI22" si="7">G9+Y9+S9+M9</f>
        <v>57828</v>
      </c>
      <c r="AK9" s="142">
        <f t="shared" ref="AK9:AK22" si="8">F9+R9+X9+L9</f>
        <v>10</v>
      </c>
      <c r="AM9" s="142">
        <f t="shared" ref="AM9:AM22" si="9">+D9+P9+V9+J9</f>
        <v>0</v>
      </c>
    </row>
    <row r="10" spans="1:39" x14ac:dyDescent="0.25">
      <c r="B10" s="174">
        <v>6320</v>
      </c>
      <c r="C10" s="46" t="s">
        <v>16</v>
      </c>
      <c r="D10" s="47"/>
      <c r="E10" s="48">
        <f t="shared" si="1"/>
        <v>0</v>
      </c>
      <c r="F10" s="49"/>
      <c r="G10" s="50"/>
      <c r="H10" s="51">
        <f t="shared" ref="H10:H22" si="10">D10+F10</f>
        <v>0</v>
      </c>
      <c r="I10" s="52">
        <f t="shared" ref="I10:I22" si="11">G10+E10</f>
        <v>0</v>
      </c>
      <c r="J10" s="203"/>
      <c r="K10" s="204">
        <f t="shared" si="2"/>
        <v>0</v>
      </c>
      <c r="L10" s="205"/>
      <c r="M10" s="206"/>
      <c r="N10" s="195">
        <f t="shared" ref="N10:N22" si="12">J10+L10</f>
        <v>0</v>
      </c>
      <c r="O10" s="196">
        <f t="shared" ref="O10:O22" si="13">M10+K10</f>
        <v>0</v>
      </c>
      <c r="P10" s="53"/>
      <c r="Q10" s="54">
        <f t="shared" si="3"/>
        <v>0</v>
      </c>
      <c r="R10" s="55"/>
      <c r="S10" s="56"/>
      <c r="T10" s="57">
        <f t="shared" ref="T10:T22" si="14">P10+R10</f>
        <v>0</v>
      </c>
      <c r="U10" s="58">
        <f t="shared" ref="U10:U22" si="15">S10+Q10</f>
        <v>0</v>
      </c>
      <c r="V10" s="59"/>
      <c r="W10" s="60">
        <f t="shared" si="0"/>
        <v>0</v>
      </c>
      <c r="X10" s="61"/>
      <c r="Y10" s="62"/>
      <c r="Z10" s="63">
        <f t="shared" ref="Z10:Z22" si="16">V10+X10</f>
        <v>0</v>
      </c>
      <c r="AA10" s="41">
        <f t="shared" ref="AA10:AA22" si="17">Y10+W10</f>
        <v>0</v>
      </c>
      <c r="AB10" s="42">
        <f t="shared" si="4"/>
        <v>0</v>
      </c>
      <c r="AC10" s="188">
        <f t="shared" si="5"/>
        <v>0</v>
      </c>
      <c r="AD10" s="44"/>
      <c r="AE10" s="64"/>
      <c r="AG10" s="218">
        <f t="shared" si="6"/>
        <v>0</v>
      </c>
      <c r="AI10" s="64">
        <f t="shared" si="7"/>
        <v>0</v>
      </c>
      <c r="AK10" s="142">
        <f t="shared" si="8"/>
        <v>0</v>
      </c>
      <c r="AM10" s="142">
        <f t="shared" si="9"/>
        <v>0</v>
      </c>
    </row>
    <row r="11" spans="1:39" x14ac:dyDescent="0.25">
      <c r="B11" s="174">
        <v>6320</v>
      </c>
      <c r="C11" s="153" t="s">
        <v>17</v>
      </c>
      <c r="D11" s="65"/>
      <c r="E11" s="48">
        <f t="shared" si="1"/>
        <v>0</v>
      </c>
      <c r="F11" s="49"/>
      <c r="G11" s="50"/>
      <c r="H11" s="51">
        <f t="shared" si="10"/>
        <v>0</v>
      </c>
      <c r="I11" s="52">
        <f t="shared" si="11"/>
        <v>0</v>
      </c>
      <c r="J11" s="207"/>
      <c r="K11" s="204">
        <f t="shared" si="2"/>
        <v>0</v>
      </c>
      <c r="L11" s="205"/>
      <c r="M11" s="206"/>
      <c r="N11" s="195">
        <f t="shared" si="12"/>
        <v>0</v>
      </c>
      <c r="O11" s="196">
        <f t="shared" si="13"/>
        <v>0</v>
      </c>
      <c r="P11" s="66">
        <v>1</v>
      </c>
      <c r="Q11" s="54">
        <f t="shared" si="3"/>
        <v>6320</v>
      </c>
      <c r="R11" s="67">
        <v>10</v>
      </c>
      <c r="S11" s="56">
        <f>1580+6320*9</f>
        <v>58460</v>
      </c>
      <c r="T11" s="57">
        <f t="shared" si="14"/>
        <v>11</v>
      </c>
      <c r="U11" s="58">
        <f t="shared" si="15"/>
        <v>64780</v>
      </c>
      <c r="V11" s="68"/>
      <c r="W11" s="60">
        <v>0</v>
      </c>
      <c r="X11" s="69">
        <v>4</v>
      </c>
      <c r="Y11" s="62">
        <f>6320*3+1896</f>
        <v>20856</v>
      </c>
      <c r="Z11" s="63">
        <f t="shared" si="16"/>
        <v>4</v>
      </c>
      <c r="AA11" s="41">
        <f t="shared" si="17"/>
        <v>20856</v>
      </c>
      <c r="AB11" s="152">
        <f t="shared" si="4"/>
        <v>15</v>
      </c>
      <c r="AC11" s="220">
        <f t="shared" si="5"/>
        <v>85636</v>
      </c>
      <c r="AD11" s="70"/>
      <c r="AE11" s="151">
        <f>4740+4424</f>
        <v>9164</v>
      </c>
      <c r="AG11" s="218">
        <f t="shared" si="6"/>
        <v>6320</v>
      </c>
      <c r="AI11" s="151">
        <f t="shared" si="7"/>
        <v>79316</v>
      </c>
      <c r="AK11" s="142">
        <f t="shared" si="8"/>
        <v>14</v>
      </c>
      <c r="AM11" s="142">
        <f t="shared" si="9"/>
        <v>1</v>
      </c>
    </row>
    <row r="12" spans="1:39" x14ac:dyDescent="0.25">
      <c r="B12" s="174">
        <v>6320</v>
      </c>
      <c r="C12" s="153" t="s">
        <v>18</v>
      </c>
      <c r="D12" s="65"/>
      <c r="E12" s="48">
        <f t="shared" si="1"/>
        <v>0</v>
      </c>
      <c r="F12" s="49"/>
      <c r="G12" s="50"/>
      <c r="H12" s="51">
        <f t="shared" si="10"/>
        <v>0</v>
      </c>
      <c r="I12" s="52">
        <f t="shared" si="11"/>
        <v>0</v>
      </c>
      <c r="J12" s="207"/>
      <c r="K12" s="204">
        <f t="shared" si="2"/>
        <v>0</v>
      </c>
      <c r="L12" s="205"/>
      <c r="M12" s="206"/>
      <c r="N12" s="195">
        <f t="shared" si="12"/>
        <v>0</v>
      </c>
      <c r="O12" s="196">
        <f t="shared" si="13"/>
        <v>0</v>
      </c>
      <c r="P12" s="66"/>
      <c r="Q12" s="54">
        <f t="shared" si="3"/>
        <v>0</v>
      </c>
      <c r="R12" s="67">
        <v>3</v>
      </c>
      <c r="S12" s="56">
        <f>6320*3</f>
        <v>18960</v>
      </c>
      <c r="T12" s="57">
        <f t="shared" si="14"/>
        <v>3</v>
      </c>
      <c r="U12" s="58">
        <f t="shared" si="15"/>
        <v>18960</v>
      </c>
      <c r="V12" s="68"/>
      <c r="W12" s="60">
        <f t="shared" si="0"/>
        <v>0</v>
      </c>
      <c r="X12" s="69">
        <v>2</v>
      </c>
      <c r="Y12" s="62">
        <f>6320+1896</f>
        <v>8216</v>
      </c>
      <c r="Z12" s="63">
        <f t="shared" si="16"/>
        <v>2</v>
      </c>
      <c r="AA12" s="41">
        <f t="shared" si="17"/>
        <v>8216</v>
      </c>
      <c r="AB12" s="152">
        <f t="shared" si="4"/>
        <v>5</v>
      </c>
      <c r="AC12" s="220">
        <f t="shared" si="5"/>
        <v>27176</v>
      </c>
      <c r="AD12" s="71"/>
      <c r="AE12" s="151">
        <v>4424</v>
      </c>
      <c r="AG12" s="218">
        <f t="shared" si="6"/>
        <v>0</v>
      </c>
      <c r="AI12" s="151">
        <f t="shared" si="7"/>
        <v>27176</v>
      </c>
      <c r="AK12" s="142">
        <f t="shared" si="8"/>
        <v>5</v>
      </c>
      <c r="AM12" s="142">
        <f t="shared" si="9"/>
        <v>0</v>
      </c>
    </row>
    <row r="13" spans="1:39" x14ac:dyDescent="0.25">
      <c r="B13" s="174">
        <v>6320</v>
      </c>
      <c r="C13" s="153" t="s">
        <v>19</v>
      </c>
      <c r="D13" s="65"/>
      <c r="E13" s="48">
        <f t="shared" si="1"/>
        <v>0</v>
      </c>
      <c r="F13" s="49">
        <v>2</v>
      </c>
      <c r="G13" s="50">
        <f>6320*2</f>
        <v>12640</v>
      </c>
      <c r="H13" s="51">
        <f t="shared" si="10"/>
        <v>2</v>
      </c>
      <c r="I13" s="52">
        <f t="shared" si="11"/>
        <v>12640</v>
      </c>
      <c r="J13" s="207"/>
      <c r="K13" s="204">
        <f t="shared" si="2"/>
        <v>0</v>
      </c>
      <c r="L13" s="205"/>
      <c r="M13" s="206"/>
      <c r="N13" s="195">
        <f t="shared" si="12"/>
        <v>0</v>
      </c>
      <c r="O13" s="196">
        <f t="shared" si="13"/>
        <v>0</v>
      </c>
      <c r="P13" s="66"/>
      <c r="Q13" s="54">
        <f t="shared" si="3"/>
        <v>0</v>
      </c>
      <c r="R13" s="67">
        <v>5</v>
      </c>
      <c r="S13" s="56">
        <f>6320*5</f>
        <v>31600</v>
      </c>
      <c r="T13" s="57">
        <f t="shared" si="14"/>
        <v>5</v>
      </c>
      <c r="U13" s="58">
        <f t="shared" si="15"/>
        <v>31600</v>
      </c>
      <c r="V13" s="68"/>
      <c r="W13" s="60">
        <f t="shared" si="0"/>
        <v>0</v>
      </c>
      <c r="X13" s="69">
        <v>4</v>
      </c>
      <c r="Y13" s="62">
        <f>6320*4</f>
        <v>25280</v>
      </c>
      <c r="Z13" s="63">
        <f t="shared" si="16"/>
        <v>4</v>
      </c>
      <c r="AA13" s="41">
        <f t="shared" si="17"/>
        <v>25280</v>
      </c>
      <c r="AB13" s="152">
        <f t="shared" si="4"/>
        <v>11</v>
      </c>
      <c r="AC13" s="220">
        <f t="shared" si="5"/>
        <v>69520</v>
      </c>
      <c r="AD13" s="70"/>
      <c r="AE13" s="64"/>
      <c r="AG13" s="218">
        <f t="shared" si="6"/>
        <v>0</v>
      </c>
      <c r="AI13" s="151">
        <f t="shared" si="7"/>
        <v>69520</v>
      </c>
      <c r="AK13" s="142">
        <f t="shared" si="8"/>
        <v>11</v>
      </c>
      <c r="AM13" s="142">
        <f t="shared" si="9"/>
        <v>0</v>
      </c>
    </row>
    <row r="14" spans="1:39" x14ac:dyDescent="0.25">
      <c r="B14" s="174">
        <v>6320</v>
      </c>
      <c r="C14" s="46" t="s">
        <v>20</v>
      </c>
      <c r="D14" s="65"/>
      <c r="E14" s="48">
        <f t="shared" si="1"/>
        <v>0</v>
      </c>
      <c r="F14" s="49"/>
      <c r="G14" s="50"/>
      <c r="H14" s="51">
        <f t="shared" si="10"/>
        <v>0</v>
      </c>
      <c r="I14" s="52">
        <f t="shared" si="11"/>
        <v>0</v>
      </c>
      <c r="J14" s="207"/>
      <c r="K14" s="204">
        <f t="shared" si="2"/>
        <v>0</v>
      </c>
      <c r="L14" s="205"/>
      <c r="M14" s="206"/>
      <c r="N14" s="195">
        <f t="shared" si="12"/>
        <v>0</v>
      </c>
      <c r="O14" s="196">
        <f t="shared" si="13"/>
        <v>0</v>
      </c>
      <c r="P14" s="66"/>
      <c r="Q14" s="54">
        <f t="shared" si="3"/>
        <v>0</v>
      </c>
      <c r="R14" s="67"/>
      <c r="S14" s="56"/>
      <c r="T14" s="57">
        <f t="shared" si="14"/>
        <v>0</v>
      </c>
      <c r="U14" s="58">
        <f t="shared" si="15"/>
        <v>0</v>
      </c>
      <c r="V14" s="68"/>
      <c r="W14" s="60">
        <f t="shared" si="0"/>
        <v>0</v>
      </c>
      <c r="X14" s="69"/>
      <c r="Y14" s="62"/>
      <c r="Z14" s="63">
        <f t="shared" si="16"/>
        <v>0</v>
      </c>
      <c r="AA14" s="41">
        <f t="shared" si="17"/>
        <v>0</v>
      </c>
      <c r="AB14" s="42">
        <f t="shared" si="4"/>
        <v>0</v>
      </c>
      <c r="AC14" s="188">
        <f t="shared" si="5"/>
        <v>0</v>
      </c>
      <c r="AD14" s="70"/>
      <c r="AE14" s="64"/>
      <c r="AG14" s="218">
        <f t="shared" si="6"/>
        <v>0</v>
      </c>
      <c r="AI14" s="64">
        <f t="shared" si="7"/>
        <v>0</v>
      </c>
      <c r="AK14" s="142">
        <f t="shared" si="8"/>
        <v>0</v>
      </c>
      <c r="AM14" s="142">
        <f t="shared" si="9"/>
        <v>0</v>
      </c>
    </row>
    <row r="15" spans="1:39" x14ac:dyDescent="0.25">
      <c r="B15" s="174">
        <v>6320</v>
      </c>
      <c r="C15" s="153" t="s">
        <v>21</v>
      </c>
      <c r="D15" s="65"/>
      <c r="E15" s="48">
        <f t="shared" si="1"/>
        <v>0</v>
      </c>
      <c r="F15" s="49"/>
      <c r="G15" s="50"/>
      <c r="H15" s="51">
        <f t="shared" si="10"/>
        <v>0</v>
      </c>
      <c r="I15" s="52">
        <f t="shared" si="11"/>
        <v>0</v>
      </c>
      <c r="J15" s="207"/>
      <c r="K15" s="204">
        <f t="shared" si="2"/>
        <v>0</v>
      </c>
      <c r="L15" s="205"/>
      <c r="M15" s="206"/>
      <c r="N15" s="195">
        <f t="shared" si="12"/>
        <v>0</v>
      </c>
      <c r="O15" s="196">
        <f t="shared" si="13"/>
        <v>0</v>
      </c>
      <c r="P15" s="66"/>
      <c r="Q15" s="54">
        <f t="shared" si="3"/>
        <v>0</v>
      </c>
      <c r="R15" s="67">
        <v>6</v>
      </c>
      <c r="S15" s="56">
        <f>6320*6</f>
        <v>37920</v>
      </c>
      <c r="T15" s="57">
        <f t="shared" si="14"/>
        <v>6</v>
      </c>
      <c r="U15" s="58">
        <f t="shared" si="15"/>
        <v>37920</v>
      </c>
      <c r="V15" s="68"/>
      <c r="W15" s="60">
        <f t="shared" si="0"/>
        <v>0</v>
      </c>
      <c r="X15" s="69">
        <v>3</v>
      </c>
      <c r="Y15" s="62">
        <f>6320*3</f>
        <v>18960</v>
      </c>
      <c r="Z15" s="63">
        <f t="shared" si="16"/>
        <v>3</v>
      </c>
      <c r="AA15" s="41">
        <f t="shared" si="17"/>
        <v>18960</v>
      </c>
      <c r="AB15" s="152">
        <f t="shared" si="4"/>
        <v>9</v>
      </c>
      <c r="AC15" s="220">
        <f t="shared" si="5"/>
        <v>56880</v>
      </c>
      <c r="AD15" s="70"/>
      <c r="AE15" s="64"/>
      <c r="AG15" s="218">
        <f t="shared" si="6"/>
        <v>0</v>
      </c>
      <c r="AI15" s="151">
        <f t="shared" si="7"/>
        <v>56880</v>
      </c>
      <c r="AK15" s="142">
        <f t="shared" si="8"/>
        <v>9</v>
      </c>
      <c r="AM15" s="142">
        <f t="shared" si="9"/>
        <v>0</v>
      </c>
    </row>
    <row r="16" spans="1:39" x14ac:dyDescent="0.25">
      <c r="B16" s="174" t="s">
        <v>26</v>
      </c>
      <c r="C16" s="46" t="s">
        <v>33</v>
      </c>
      <c r="D16" s="65"/>
      <c r="E16" s="48">
        <v>0</v>
      </c>
      <c r="F16" s="49"/>
      <c r="G16" s="50"/>
      <c r="H16" s="51">
        <f t="shared" si="10"/>
        <v>0</v>
      </c>
      <c r="I16" s="52">
        <f t="shared" si="11"/>
        <v>0</v>
      </c>
      <c r="J16" s="207"/>
      <c r="K16" s="204">
        <v>0</v>
      </c>
      <c r="L16" s="205"/>
      <c r="M16" s="206"/>
      <c r="N16" s="195">
        <f t="shared" si="12"/>
        <v>0</v>
      </c>
      <c r="O16" s="196">
        <f t="shared" si="13"/>
        <v>0</v>
      </c>
      <c r="P16" s="66"/>
      <c r="Q16" s="54">
        <v>0</v>
      </c>
      <c r="R16" s="67"/>
      <c r="S16" s="56"/>
      <c r="T16" s="57">
        <f t="shared" si="14"/>
        <v>0</v>
      </c>
      <c r="U16" s="58">
        <v>0</v>
      </c>
      <c r="V16" s="68"/>
      <c r="W16" s="60">
        <v>0</v>
      </c>
      <c r="X16" s="69"/>
      <c r="Y16" s="62"/>
      <c r="Z16" s="63">
        <f>+X16+V16</f>
        <v>0</v>
      </c>
      <c r="AA16" s="41">
        <f>+Y16+W16</f>
        <v>0</v>
      </c>
      <c r="AB16" s="42">
        <f t="shared" si="4"/>
        <v>0</v>
      </c>
      <c r="AC16" s="188">
        <f t="shared" si="5"/>
        <v>0</v>
      </c>
      <c r="AD16" s="70"/>
      <c r="AE16" s="64"/>
      <c r="AG16" s="218">
        <f t="shared" si="6"/>
        <v>0</v>
      </c>
      <c r="AI16" s="64">
        <f t="shared" si="7"/>
        <v>0</v>
      </c>
      <c r="AK16" s="142">
        <f t="shared" si="8"/>
        <v>0</v>
      </c>
      <c r="AM16" s="142">
        <f t="shared" si="9"/>
        <v>0</v>
      </c>
    </row>
    <row r="17" spans="2:41" x14ac:dyDescent="0.25">
      <c r="B17" s="175">
        <v>14010</v>
      </c>
      <c r="C17" s="153" t="s">
        <v>23</v>
      </c>
      <c r="D17" s="65"/>
      <c r="E17" s="48">
        <f t="shared" si="1"/>
        <v>0</v>
      </c>
      <c r="F17" s="49">
        <v>6</v>
      </c>
      <c r="G17" s="50">
        <f>14010*6</f>
        <v>84060</v>
      </c>
      <c r="H17" s="51">
        <f t="shared" si="10"/>
        <v>6</v>
      </c>
      <c r="I17" s="52">
        <f t="shared" si="11"/>
        <v>84060</v>
      </c>
      <c r="J17" s="207"/>
      <c r="K17" s="204">
        <f>+J17*H17</f>
        <v>0</v>
      </c>
      <c r="L17" s="205"/>
      <c r="M17" s="206"/>
      <c r="N17" s="195">
        <f t="shared" si="12"/>
        <v>0</v>
      </c>
      <c r="O17" s="196">
        <f t="shared" si="13"/>
        <v>0</v>
      </c>
      <c r="P17" s="66"/>
      <c r="Q17" s="54">
        <f t="shared" si="3"/>
        <v>0</v>
      </c>
      <c r="R17" s="67">
        <v>4</v>
      </c>
      <c r="S17" s="56">
        <f>14010*4</f>
        <v>56040</v>
      </c>
      <c r="T17" s="57">
        <f t="shared" si="14"/>
        <v>4</v>
      </c>
      <c r="U17" s="58">
        <f t="shared" si="15"/>
        <v>56040</v>
      </c>
      <c r="V17" s="68"/>
      <c r="W17" s="60">
        <f t="shared" si="0"/>
        <v>0</v>
      </c>
      <c r="X17" s="69">
        <v>5</v>
      </c>
      <c r="Y17" s="62">
        <f>14010*5</f>
        <v>70050</v>
      </c>
      <c r="Z17" s="63">
        <f t="shared" si="16"/>
        <v>5</v>
      </c>
      <c r="AA17" s="41">
        <f t="shared" si="17"/>
        <v>70050</v>
      </c>
      <c r="AB17" s="152">
        <f t="shared" si="4"/>
        <v>15</v>
      </c>
      <c r="AC17" s="220">
        <f t="shared" si="5"/>
        <v>210150</v>
      </c>
      <c r="AD17" s="70"/>
      <c r="AE17" s="64"/>
      <c r="AG17" s="218">
        <f t="shared" si="6"/>
        <v>0</v>
      </c>
      <c r="AI17" s="151">
        <f t="shared" si="7"/>
        <v>210150</v>
      </c>
      <c r="AK17" s="142">
        <f t="shared" si="8"/>
        <v>15</v>
      </c>
      <c r="AM17" s="142">
        <f t="shared" si="9"/>
        <v>0</v>
      </c>
    </row>
    <row r="18" spans="2:41" x14ac:dyDescent="0.25">
      <c r="B18" s="174">
        <v>11870</v>
      </c>
      <c r="C18" s="153" t="s">
        <v>24</v>
      </c>
      <c r="D18" s="65"/>
      <c r="E18" s="48">
        <f t="shared" si="1"/>
        <v>0</v>
      </c>
      <c r="F18" s="49"/>
      <c r="G18" s="50"/>
      <c r="H18" s="51">
        <f t="shared" si="10"/>
        <v>0</v>
      </c>
      <c r="I18" s="52">
        <f t="shared" si="11"/>
        <v>0</v>
      </c>
      <c r="J18" s="207"/>
      <c r="K18" s="204">
        <f>+J18*H18</f>
        <v>0</v>
      </c>
      <c r="L18" s="205"/>
      <c r="M18" s="206"/>
      <c r="N18" s="195">
        <f t="shared" si="12"/>
        <v>0</v>
      </c>
      <c r="O18" s="196">
        <f t="shared" si="13"/>
        <v>0</v>
      </c>
      <c r="P18" s="66"/>
      <c r="Q18" s="54">
        <f t="shared" si="3"/>
        <v>0</v>
      </c>
      <c r="R18" s="67">
        <v>3</v>
      </c>
      <c r="S18" s="56">
        <f>11870*3</f>
        <v>35610</v>
      </c>
      <c r="T18" s="57">
        <f t="shared" si="14"/>
        <v>3</v>
      </c>
      <c r="U18" s="58">
        <f t="shared" si="15"/>
        <v>35610</v>
      </c>
      <c r="V18" s="68"/>
      <c r="W18" s="60">
        <f t="shared" si="0"/>
        <v>0</v>
      </c>
      <c r="X18" s="69">
        <v>1</v>
      </c>
      <c r="Y18" s="62">
        <v>11870</v>
      </c>
      <c r="Z18" s="63">
        <f t="shared" si="16"/>
        <v>1</v>
      </c>
      <c r="AA18" s="41">
        <f t="shared" si="17"/>
        <v>11870</v>
      </c>
      <c r="AB18" s="152">
        <f t="shared" si="4"/>
        <v>4</v>
      </c>
      <c r="AC18" s="220">
        <f t="shared" si="5"/>
        <v>47480</v>
      </c>
      <c r="AD18" s="70"/>
      <c r="AE18" s="64"/>
      <c r="AG18" s="218">
        <f t="shared" si="6"/>
        <v>0</v>
      </c>
      <c r="AI18" s="151">
        <f t="shared" si="7"/>
        <v>47480</v>
      </c>
      <c r="AK18" s="142">
        <f t="shared" si="8"/>
        <v>4</v>
      </c>
      <c r="AM18" s="142">
        <f t="shared" si="9"/>
        <v>0</v>
      </c>
    </row>
    <row r="19" spans="2:41" x14ac:dyDescent="0.25">
      <c r="B19" s="174">
        <v>6710</v>
      </c>
      <c r="C19" s="153" t="s">
        <v>0</v>
      </c>
      <c r="D19" s="65"/>
      <c r="E19" s="48">
        <f t="shared" si="1"/>
        <v>0</v>
      </c>
      <c r="F19" s="72"/>
      <c r="G19" s="50"/>
      <c r="H19" s="51">
        <f t="shared" si="10"/>
        <v>0</v>
      </c>
      <c r="I19" s="52">
        <f t="shared" si="11"/>
        <v>0</v>
      </c>
      <c r="J19" s="207"/>
      <c r="K19" s="204">
        <f>+J19*H19</f>
        <v>0</v>
      </c>
      <c r="L19" s="208"/>
      <c r="M19" s="206"/>
      <c r="N19" s="195">
        <f t="shared" si="12"/>
        <v>0</v>
      </c>
      <c r="O19" s="196">
        <f t="shared" si="13"/>
        <v>0</v>
      </c>
      <c r="P19" s="66"/>
      <c r="Q19" s="54">
        <f t="shared" si="3"/>
        <v>0</v>
      </c>
      <c r="R19" s="73"/>
      <c r="S19" s="56"/>
      <c r="T19" s="57">
        <f t="shared" si="14"/>
        <v>0</v>
      </c>
      <c r="U19" s="58">
        <f t="shared" si="15"/>
        <v>0</v>
      </c>
      <c r="V19" s="68"/>
      <c r="W19" s="60">
        <f t="shared" si="0"/>
        <v>0</v>
      </c>
      <c r="X19" s="74">
        <v>5</v>
      </c>
      <c r="Y19" s="62">
        <f>6710*4+3087</f>
        <v>29927</v>
      </c>
      <c r="Z19" s="63">
        <f t="shared" si="16"/>
        <v>5</v>
      </c>
      <c r="AA19" s="41">
        <f t="shared" si="17"/>
        <v>29927</v>
      </c>
      <c r="AB19" s="152">
        <f t="shared" si="4"/>
        <v>5</v>
      </c>
      <c r="AC19" s="220">
        <f t="shared" si="5"/>
        <v>29927</v>
      </c>
      <c r="AD19" s="70"/>
      <c r="AE19" s="151">
        <v>3623</v>
      </c>
      <c r="AF19" s="1" t="s">
        <v>25</v>
      </c>
      <c r="AG19" s="218">
        <f t="shared" si="6"/>
        <v>0</v>
      </c>
      <c r="AI19" s="151">
        <f t="shared" si="7"/>
        <v>29927</v>
      </c>
      <c r="AK19" s="142">
        <f t="shared" si="8"/>
        <v>5</v>
      </c>
      <c r="AM19" s="142">
        <f t="shared" si="9"/>
        <v>0</v>
      </c>
    </row>
    <row r="20" spans="2:41" x14ac:dyDescent="0.25">
      <c r="B20" s="174" t="s">
        <v>26</v>
      </c>
      <c r="C20" s="46" t="s">
        <v>0</v>
      </c>
      <c r="D20" s="65"/>
      <c r="E20" s="48">
        <v>0</v>
      </c>
      <c r="F20" s="49"/>
      <c r="G20" s="50"/>
      <c r="H20" s="51">
        <f t="shared" si="10"/>
        <v>0</v>
      </c>
      <c r="I20" s="52">
        <f t="shared" si="11"/>
        <v>0</v>
      </c>
      <c r="J20" s="207"/>
      <c r="K20" s="204">
        <v>0</v>
      </c>
      <c r="L20" s="205"/>
      <c r="M20" s="206"/>
      <c r="N20" s="195">
        <f t="shared" si="12"/>
        <v>0</v>
      </c>
      <c r="O20" s="196">
        <f t="shared" si="13"/>
        <v>0</v>
      </c>
      <c r="P20" s="66"/>
      <c r="Q20" s="54">
        <v>0</v>
      </c>
      <c r="R20" s="67"/>
      <c r="S20" s="56"/>
      <c r="T20" s="57">
        <f t="shared" si="14"/>
        <v>0</v>
      </c>
      <c r="U20" s="58">
        <f t="shared" si="15"/>
        <v>0</v>
      </c>
      <c r="V20" s="68"/>
      <c r="W20" s="60">
        <v>0</v>
      </c>
      <c r="X20" s="69"/>
      <c r="Y20" s="62"/>
      <c r="Z20" s="63">
        <f t="shared" si="16"/>
        <v>0</v>
      </c>
      <c r="AA20" s="41">
        <f t="shared" si="17"/>
        <v>0</v>
      </c>
      <c r="AB20" s="42">
        <f t="shared" si="4"/>
        <v>0</v>
      </c>
      <c r="AC20" s="188">
        <f t="shared" si="5"/>
        <v>0</v>
      </c>
      <c r="AD20" s="70"/>
      <c r="AE20" s="64"/>
      <c r="AG20" s="218">
        <f t="shared" si="6"/>
        <v>0</v>
      </c>
      <c r="AI20" s="64">
        <f t="shared" si="7"/>
        <v>0</v>
      </c>
      <c r="AK20" s="142">
        <f t="shared" si="8"/>
        <v>0</v>
      </c>
      <c r="AM20" s="142">
        <f t="shared" si="9"/>
        <v>0</v>
      </c>
    </row>
    <row r="21" spans="2:41" x14ac:dyDescent="0.25">
      <c r="B21" s="174" t="s">
        <v>26</v>
      </c>
      <c r="C21" s="153" t="s">
        <v>28</v>
      </c>
      <c r="D21" s="65"/>
      <c r="E21" s="75">
        <v>0</v>
      </c>
      <c r="F21" s="49">
        <v>3</v>
      </c>
      <c r="G21" s="50">
        <f>13090*2+13750</f>
        <v>39930</v>
      </c>
      <c r="H21" s="51">
        <f t="shared" si="10"/>
        <v>3</v>
      </c>
      <c r="I21" s="52">
        <f t="shared" si="11"/>
        <v>39930</v>
      </c>
      <c r="J21" s="207"/>
      <c r="K21" s="209">
        <v>0</v>
      </c>
      <c r="L21" s="205"/>
      <c r="M21" s="206"/>
      <c r="N21" s="195">
        <f t="shared" si="12"/>
        <v>0</v>
      </c>
      <c r="O21" s="196">
        <f t="shared" si="13"/>
        <v>0</v>
      </c>
      <c r="P21" s="66"/>
      <c r="Q21" s="54">
        <v>0</v>
      </c>
      <c r="R21" s="67">
        <v>12</v>
      </c>
      <c r="S21" s="56">
        <f>2750+12350+13090+13750*3+24700*6</f>
        <v>217640</v>
      </c>
      <c r="T21" s="57">
        <f t="shared" si="14"/>
        <v>12</v>
      </c>
      <c r="U21" s="58">
        <f t="shared" si="15"/>
        <v>217640</v>
      </c>
      <c r="V21" s="68"/>
      <c r="W21" s="60">
        <v>0</v>
      </c>
      <c r="X21" s="69">
        <v>3</v>
      </c>
      <c r="Y21" s="62">
        <f>24700*2+13924</f>
        <v>63324</v>
      </c>
      <c r="Z21" s="63">
        <f t="shared" si="16"/>
        <v>3</v>
      </c>
      <c r="AA21" s="41">
        <f t="shared" si="17"/>
        <v>63324</v>
      </c>
      <c r="AB21" s="152">
        <f t="shared" si="4"/>
        <v>18</v>
      </c>
      <c r="AC21" s="220">
        <f t="shared" si="5"/>
        <v>320894</v>
      </c>
      <c r="AD21" s="70"/>
      <c r="AE21" s="151">
        <f>11000+10776+12350</f>
        <v>34126</v>
      </c>
      <c r="AG21" s="218">
        <f t="shared" si="6"/>
        <v>0</v>
      </c>
      <c r="AI21" s="151">
        <f t="shared" si="7"/>
        <v>320894</v>
      </c>
      <c r="AK21" s="142">
        <f t="shared" si="8"/>
        <v>18</v>
      </c>
      <c r="AM21" s="142">
        <f t="shared" si="9"/>
        <v>0</v>
      </c>
    </row>
    <row r="22" spans="2:41" ht="15.75" thickBot="1" x14ac:dyDescent="0.3">
      <c r="B22" s="176" t="s">
        <v>26</v>
      </c>
      <c r="C22" s="155" t="s">
        <v>29</v>
      </c>
      <c r="D22" s="77"/>
      <c r="E22" s="78">
        <v>0</v>
      </c>
      <c r="F22" s="79"/>
      <c r="G22" s="80"/>
      <c r="H22" s="81">
        <f t="shared" si="10"/>
        <v>0</v>
      </c>
      <c r="I22" s="82">
        <f t="shared" si="11"/>
        <v>0</v>
      </c>
      <c r="J22" s="210"/>
      <c r="K22" s="211">
        <v>0</v>
      </c>
      <c r="L22" s="212"/>
      <c r="M22" s="213"/>
      <c r="N22" s="197">
        <f t="shared" si="12"/>
        <v>0</v>
      </c>
      <c r="O22" s="198">
        <f t="shared" si="13"/>
        <v>0</v>
      </c>
      <c r="P22" s="83"/>
      <c r="Q22" s="84">
        <v>0</v>
      </c>
      <c r="R22" s="85">
        <v>4</v>
      </c>
      <c r="S22" s="86">
        <f>7490+17930+6430+8450</f>
        <v>40300</v>
      </c>
      <c r="T22" s="87">
        <f t="shared" si="14"/>
        <v>4</v>
      </c>
      <c r="U22" s="88">
        <f t="shared" si="15"/>
        <v>40300</v>
      </c>
      <c r="V22" s="89"/>
      <c r="W22" s="60">
        <v>0</v>
      </c>
      <c r="X22" s="90">
        <v>4</v>
      </c>
      <c r="Y22" s="91">
        <f>41120+6430+13180+14980</f>
        <v>75710</v>
      </c>
      <c r="Z22" s="92">
        <f t="shared" si="16"/>
        <v>4</v>
      </c>
      <c r="AA22" s="93">
        <f t="shared" si="17"/>
        <v>75710</v>
      </c>
      <c r="AB22" s="152">
        <f t="shared" si="4"/>
        <v>8</v>
      </c>
      <c r="AC22" s="220">
        <f t="shared" si="5"/>
        <v>116010</v>
      </c>
      <c r="AD22" s="70"/>
      <c r="AE22" s="94"/>
      <c r="AG22" s="219">
        <f t="shared" si="6"/>
        <v>0</v>
      </c>
      <c r="AI22" s="154">
        <f t="shared" si="7"/>
        <v>116010</v>
      </c>
      <c r="AK22" s="144">
        <f t="shared" si="8"/>
        <v>8</v>
      </c>
      <c r="AM22" s="144">
        <f t="shared" si="9"/>
        <v>0</v>
      </c>
    </row>
    <row r="23" spans="2:41" ht="15.75" thickBot="1" x14ac:dyDescent="0.3">
      <c r="D23" s="95">
        <f t="shared" ref="D23:I23" si="18">SUM(D8:D22)</f>
        <v>0</v>
      </c>
      <c r="E23" s="96">
        <f t="shared" si="18"/>
        <v>0</v>
      </c>
      <c r="F23" s="95">
        <f t="shared" si="18"/>
        <v>14</v>
      </c>
      <c r="G23" s="97">
        <f t="shared" si="18"/>
        <v>155590</v>
      </c>
      <c r="H23" s="279">
        <f t="shared" si="18"/>
        <v>14</v>
      </c>
      <c r="I23" s="280">
        <f t="shared" si="18"/>
        <v>155590</v>
      </c>
      <c r="J23" s="214">
        <f t="shared" ref="J23:O23" si="19">SUM(J8:J22)</f>
        <v>0</v>
      </c>
      <c r="K23" s="215">
        <f t="shared" si="19"/>
        <v>0</v>
      </c>
      <c r="L23" s="214">
        <f t="shared" si="19"/>
        <v>0</v>
      </c>
      <c r="M23" s="216">
        <f t="shared" si="19"/>
        <v>0</v>
      </c>
      <c r="N23" s="217">
        <f t="shared" si="19"/>
        <v>0</v>
      </c>
      <c r="O23" s="99">
        <f t="shared" si="19"/>
        <v>0</v>
      </c>
      <c r="P23" s="100">
        <f t="shared" ref="P23:AA23" si="20">SUM(P8:P22)</f>
        <v>1</v>
      </c>
      <c r="Q23" s="101">
        <f t="shared" si="20"/>
        <v>6320</v>
      </c>
      <c r="R23" s="100">
        <f t="shared" si="20"/>
        <v>68</v>
      </c>
      <c r="S23" s="102">
        <f t="shared" si="20"/>
        <v>629250</v>
      </c>
      <c r="T23" s="103">
        <f t="shared" si="20"/>
        <v>69</v>
      </c>
      <c r="U23" s="277">
        <f t="shared" si="20"/>
        <v>635570</v>
      </c>
      <c r="V23" s="105">
        <f t="shared" si="20"/>
        <v>0</v>
      </c>
      <c r="W23" s="106">
        <f t="shared" si="20"/>
        <v>0</v>
      </c>
      <c r="X23" s="105">
        <f t="shared" si="20"/>
        <v>42</v>
      </c>
      <c r="Y23" s="107">
        <f t="shared" si="20"/>
        <v>388341</v>
      </c>
      <c r="Z23" s="108">
        <f t="shared" si="20"/>
        <v>42</v>
      </c>
      <c r="AA23" s="278">
        <f t="shared" si="20"/>
        <v>388341</v>
      </c>
      <c r="AB23" s="109" t="s">
        <v>9</v>
      </c>
      <c r="AC23" s="43">
        <f>SUM(AC8:AC22)</f>
        <v>1179501</v>
      </c>
      <c r="AD23" s="70"/>
      <c r="AE23" s="110">
        <f>SUM(AE8:AE22)</f>
        <v>56709</v>
      </c>
      <c r="AI23" s="110"/>
      <c r="AK23" s="1">
        <f>SUM(AK8:AK22)</f>
        <v>124</v>
      </c>
      <c r="AM23" s="1">
        <f>SUM(AM8:AM22)</f>
        <v>1</v>
      </c>
      <c r="AO23" s="1">
        <f>+AK23+AM23</f>
        <v>125</v>
      </c>
    </row>
    <row r="24" spans="2:41" x14ac:dyDescent="0.25">
      <c r="G24" s="111"/>
      <c r="H24" s="111"/>
      <c r="I24" s="111"/>
      <c r="M24" s="111"/>
      <c r="N24" s="111"/>
      <c r="O24" s="111"/>
      <c r="P24" s="111"/>
      <c r="Q24" s="111"/>
      <c r="S24" s="111"/>
      <c r="T24" s="111"/>
      <c r="U24" s="111"/>
      <c r="V24" s="288">
        <f>X23+F23+R23+L23</f>
        <v>124</v>
      </c>
      <c r="W24" s="113">
        <f>G23+Y23+S23+M23</f>
        <v>1173181</v>
      </c>
      <c r="X24" s="111"/>
      <c r="Y24" s="111"/>
      <c r="Z24" s="111"/>
      <c r="AA24" s="111"/>
      <c r="AB24" s="2"/>
      <c r="AC24" s="70">
        <f>+AA23+U23+I23+O23</f>
        <v>1179501</v>
      </c>
      <c r="AD24" s="2"/>
    </row>
    <row r="25" spans="2:41" x14ac:dyDescent="0.25">
      <c r="D25" s="114" t="s">
        <v>30</v>
      </c>
      <c r="E25" s="114"/>
      <c r="G25" s="114"/>
      <c r="H25" s="114"/>
      <c r="I25" s="114"/>
      <c r="J25" s="114" t="s">
        <v>30</v>
      </c>
      <c r="K25" s="114"/>
      <c r="M25" s="114"/>
      <c r="N25" s="114"/>
      <c r="O25" s="114"/>
      <c r="P25" s="114"/>
      <c r="Q25" s="114"/>
      <c r="R25" s="114"/>
      <c r="S25" s="114"/>
      <c r="T25" s="114"/>
      <c r="U25" s="114"/>
      <c r="AA25" s="2"/>
      <c r="AB25" s="2"/>
      <c r="AC25" s="2"/>
      <c r="AD25" s="2"/>
    </row>
    <row r="26" spans="2:41" x14ac:dyDescent="0.25">
      <c r="D26" s="114"/>
      <c r="E26" s="114"/>
      <c r="J26" s="114"/>
      <c r="K26" s="114"/>
      <c r="P26" s="1"/>
      <c r="Q26" s="1"/>
      <c r="R26" s="1"/>
      <c r="S26" s="1"/>
      <c r="T26" s="1"/>
      <c r="U26" s="1"/>
      <c r="AA26" s="2"/>
      <c r="AB26" s="2"/>
      <c r="AC26" s="2"/>
      <c r="AD26" s="2"/>
    </row>
    <row r="27" spans="2:41" x14ac:dyDescent="0.25">
      <c r="C27" s="115">
        <v>20000</v>
      </c>
      <c r="D27" s="115"/>
      <c r="E27" s="115"/>
      <c r="F27" s="116"/>
      <c r="G27" s="117"/>
      <c r="H27" s="118"/>
      <c r="I27" s="119">
        <v>80000</v>
      </c>
      <c r="J27" s="115"/>
      <c r="K27" s="115"/>
      <c r="L27" s="116"/>
      <c r="M27" s="117"/>
      <c r="N27" s="118"/>
      <c r="O27" s="119"/>
      <c r="P27" s="119"/>
      <c r="Q27" s="119"/>
      <c r="R27" s="119"/>
      <c r="S27" s="119"/>
      <c r="T27" s="119"/>
      <c r="U27" s="119">
        <v>60000</v>
      </c>
      <c r="V27" s="119"/>
      <c r="W27" s="119"/>
      <c r="X27" s="120"/>
      <c r="Y27" s="121"/>
      <c r="Z27" s="120"/>
      <c r="AA27" s="119">
        <v>120000</v>
      </c>
      <c r="AB27" s="122"/>
      <c r="AC27" s="122"/>
      <c r="AD27" s="2"/>
      <c r="AE27" s="2"/>
      <c r="AF27" s="2"/>
    </row>
    <row r="28" spans="2:41" x14ac:dyDescent="0.25">
      <c r="C28" s="115">
        <v>10000</v>
      </c>
      <c r="D28" s="115"/>
      <c r="E28" s="115"/>
      <c r="F28" s="116"/>
      <c r="G28" s="117"/>
      <c r="H28" s="118"/>
      <c r="I28" s="119">
        <v>70000</v>
      </c>
      <c r="J28" s="115"/>
      <c r="K28" s="115"/>
      <c r="L28" s="116"/>
      <c r="M28" s="117"/>
      <c r="N28" s="118"/>
      <c r="O28" s="119"/>
      <c r="P28" s="119"/>
      <c r="Q28" s="119"/>
      <c r="R28" s="119"/>
      <c r="S28" s="119"/>
      <c r="T28" s="119"/>
      <c r="U28" s="119">
        <v>350000</v>
      </c>
      <c r="V28" s="119"/>
      <c r="W28" s="119"/>
      <c r="X28" s="120"/>
      <c r="Y28" s="122"/>
      <c r="Z28" s="120"/>
      <c r="AA28" s="119">
        <v>180000</v>
      </c>
      <c r="AB28" s="122"/>
      <c r="AC28" s="122"/>
      <c r="AD28" s="2"/>
      <c r="AE28" s="2"/>
      <c r="AF28" s="2"/>
    </row>
    <row r="29" spans="2:41" x14ac:dyDescent="0.25">
      <c r="C29" s="115">
        <v>5000</v>
      </c>
      <c r="D29" s="115"/>
      <c r="E29" s="115"/>
      <c r="F29" s="116"/>
      <c r="G29" s="117"/>
      <c r="H29" s="118"/>
      <c r="I29" s="119">
        <v>5000</v>
      </c>
      <c r="J29" s="115"/>
      <c r="K29" s="115"/>
      <c r="L29" s="116"/>
      <c r="M29" s="117"/>
      <c r="N29" s="118"/>
      <c r="O29" s="119"/>
      <c r="P29" s="119"/>
      <c r="Q29" s="119"/>
      <c r="R29" s="119"/>
      <c r="S29" s="119"/>
      <c r="T29" s="119"/>
      <c r="U29" s="124">
        <v>0</v>
      </c>
      <c r="V29" s="119"/>
      <c r="W29" s="119"/>
      <c r="X29" s="120"/>
      <c r="Y29" s="121"/>
      <c r="Z29" s="120"/>
      <c r="AA29" s="119">
        <v>60000</v>
      </c>
      <c r="AB29" s="122"/>
      <c r="AC29" s="122"/>
      <c r="AD29" s="2"/>
      <c r="AE29" s="2"/>
      <c r="AF29" s="2"/>
    </row>
    <row r="30" spans="2:41" x14ac:dyDescent="0.25">
      <c r="C30" s="115">
        <v>2000</v>
      </c>
      <c r="D30" s="115"/>
      <c r="E30" s="115"/>
      <c r="F30" s="116"/>
      <c r="G30" s="117"/>
      <c r="H30" s="118"/>
      <c r="I30" s="119">
        <v>0</v>
      </c>
      <c r="J30" s="115"/>
      <c r="K30" s="115"/>
      <c r="L30" s="116"/>
      <c r="M30" s="117"/>
      <c r="N30" s="118"/>
      <c r="O30" s="119"/>
      <c r="P30" s="119"/>
      <c r="Q30" s="119"/>
      <c r="R30" s="119"/>
      <c r="S30" s="119"/>
      <c r="T30" s="119"/>
      <c r="U30" s="119">
        <v>0</v>
      </c>
      <c r="V30" s="119"/>
      <c r="W30" s="119"/>
      <c r="X30" s="120"/>
      <c r="Y30" s="121"/>
      <c r="Z30" s="120"/>
      <c r="AA30" s="119">
        <v>0</v>
      </c>
      <c r="AB30" s="122"/>
      <c r="AC30" s="122"/>
      <c r="AD30" s="123"/>
    </row>
    <row r="31" spans="2:41" x14ac:dyDescent="0.25">
      <c r="C31" s="115">
        <v>1000</v>
      </c>
      <c r="D31" s="115"/>
      <c r="E31" s="115"/>
      <c r="F31" s="116"/>
      <c r="G31" s="117"/>
      <c r="H31" s="118"/>
      <c r="I31" s="124">
        <v>0</v>
      </c>
      <c r="J31" s="115"/>
      <c r="K31" s="115"/>
      <c r="L31" s="116"/>
      <c r="M31" s="117"/>
      <c r="N31" s="118"/>
      <c r="O31" s="124"/>
      <c r="P31" s="124"/>
      <c r="Q31" s="124"/>
      <c r="R31" s="124"/>
      <c r="S31" s="124"/>
      <c r="T31" s="124"/>
      <c r="U31" s="124">
        <v>3000</v>
      </c>
      <c r="V31" s="124"/>
      <c r="W31" s="124"/>
      <c r="X31" s="120"/>
      <c r="Y31" s="121"/>
      <c r="Z31" s="120"/>
      <c r="AA31" s="124">
        <v>7000</v>
      </c>
      <c r="AB31" s="122"/>
      <c r="AC31" s="122"/>
      <c r="AD31" s="2"/>
    </row>
    <row r="32" spans="2:41" x14ac:dyDescent="0.25">
      <c r="C32" s="115">
        <v>500</v>
      </c>
      <c r="D32" s="115"/>
      <c r="E32" s="115"/>
      <c r="F32" s="116"/>
      <c r="G32" s="117"/>
      <c r="H32" s="118"/>
      <c r="I32" s="119">
        <v>500</v>
      </c>
      <c r="J32" s="115"/>
      <c r="K32" s="115"/>
      <c r="L32" s="116"/>
      <c r="M32" s="117"/>
      <c r="N32" s="118"/>
      <c r="O32" s="119"/>
      <c r="P32" s="119"/>
      <c r="Q32" s="119"/>
      <c r="R32" s="119"/>
      <c r="S32" s="119"/>
      <c r="T32" s="119"/>
      <c r="U32" s="119">
        <v>0</v>
      </c>
      <c r="V32" s="119"/>
      <c r="W32" s="119"/>
      <c r="X32" s="120"/>
      <c r="Y32" s="121"/>
      <c r="Z32" s="120"/>
      <c r="AA32" s="119">
        <v>0</v>
      </c>
      <c r="AB32" s="121"/>
      <c r="AC32" s="121"/>
      <c r="AD32" s="2"/>
    </row>
    <row r="33" spans="2:33" x14ac:dyDescent="0.25">
      <c r="C33" s="115">
        <v>100</v>
      </c>
      <c r="D33" s="115"/>
      <c r="E33" s="115"/>
      <c r="F33" s="116"/>
      <c r="G33" s="117"/>
      <c r="H33" s="118"/>
      <c r="I33" s="119">
        <v>0</v>
      </c>
      <c r="J33" s="115"/>
      <c r="K33" s="115"/>
      <c r="L33" s="116"/>
      <c r="M33" s="117"/>
      <c r="N33" s="118"/>
      <c r="O33" s="119"/>
      <c r="P33" s="119"/>
      <c r="Q33" s="119"/>
      <c r="R33" s="119"/>
      <c r="S33" s="119"/>
      <c r="T33" s="119"/>
      <c r="U33" s="119">
        <v>400</v>
      </c>
      <c r="V33" s="119"/>
      <c r="W33" s="119"/>
      <c r="X33" s="120"/>
      <c r="Y33" s="121"/>
      <c r="Z33" s="120"/>
      <c r="AA33" s="119">
        <v>0</v>
      </c>
      <c r="AB33" s="121"/>
      <c r="AC33" s="121"/>
      <c r="AD33" s="2"/>
    </row>
    <row r="34" spans="2:33" x14ac:dyDescent="0.25">
      <c r="C34" s="115">
        <v>50</v>
      </c>
      <c r="D34" s="115"/>
      <c r="E34" s="115"/>
      <c r="F34" s="116"/>
      <c r="G34" s="117"/>
      <c r="H34" s="118"/>
      <c r="I34" s="119">
        <v>50</v>
      </c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>
        <v>0</v>
      </c>
      <c r="V34" s="119"/>
      <c r="W34" s="119"/>
      <c r="X34" s="120"/>
      <c r="Y34" s="121"/>
      <c r="Z34" s="120"/>
      <c r="AA34" s="119">
        <v>0</v>
      </c>
      <c r="AB34" s="121"/>
      <c r="AC34" s="121"/>
      <c r="AD34" s="2"/>
    </row>
    <row r="35" spans="2:33" x14ac:dyDescent="0.25">
      <c r="C35" s="115">
        <v>10</v>
      </c>
      <c r="D35" s="115"/>
      <c r="E35" s="115"/>
      <c r="F35" s="116"/>
      <c r="G35" s="117"/>
      <c r="H35" s="118"/>
      <c r="I35" s="119">
        <v>40</v>
      </c>
      <c r="J35" s="115"/>
      <c r="K35" s="115"/>
      <c r="L35" s="116"/>
      <c r="M35" s="117"/>
      <c r="N35" s="118"/>
      <c r="O35" s="119"/>
      <c r="P35" s="119"/>
      <c r="Q35" s="119"/>
      <c r="R35" s="119"/>
      <c r="S35" s="119"/>
      <c r="T35" s="119"/>
      <c r="U35" s="119">
        <v>20</v>
      </c>
      <c r="V35" s="119"/>
      <c r="W35" s="119"/>
      <c r="X35" s="120"/>
      <c r="Y35" s="121"/>
      <c r="Z35" s="120"/>
      <c r="AA35" s="119">
        <v>40</v>
      </c>
      <c r="AB35" s="121"/>
      <c r="AC35" s="121"/>
      <c r="AD35" s="2"/>
      <c r="AG35" s="1" t="s">
        <v>25</v>
      </c>
    </row>
    <row r="36" spans="2:33" x14ac:dyDescent="0.25">
      <c r="C36" s="1" t="s">
        <v>32</v>
      </c>
      <c r="E36" s="131"/>
      <c r="G36" s="125"/>
      <c r="H36" s="118"/>
      <c r="I36" s="124"/>
      <c r="K36" s="131"/>
      <c r="M36" s="125"/>
      <c r="N36" s="118"/>
      <c r="O36" s="124"/>
      <c r="P36" s="124"/>
      <c r="Q36" s="124"/>
      <c r="R36" s="124"/>
      <c r="S36" s="124"/>
      <c r="T36" s="124"/>
      <c r="U36" s="124">
        <f>158000+57828+2</f>
        <v>215830</v>
      </c>
      <c r="V36" s="124"/>
      <c r="W36" s="124"/>
      <c r="X36" s="120"/>
      <c r="Y36" s="124"/>
      <c r="Z36" s="120"/>
      <c r="AA36" s="124">
        <v>41120</v>
      </c>
      <c r="AB36" s="124"/>
      <c r="AC36" s="124"/>
      <c r="AD36" s="2"/>
    </row>
    <row r="37" spans="2:33" s="114" customFormat="1" ht="15.75" x14ac:dyDescent="0.25">
      <c r="F37" s="126"/>
      <c r="G37" s="127"/>
      <c r="I37" s="128">
        <f>SUM(I27:I36)</f>
        <v>155590</v>
      </c>
      <c r="L37" s="126"/>
      <c r="M37" s="127"/>
      <c r="O37" s="128">
        <f>SUM(O27:O36)</f>
        <v>0</v>
      </c>
      <c r="P37" s="116"/>
      <c r="Q37" s="116"/>
      <c r="R37" s="116"/>
      <c r="S37" s="116"/>
      <c r="T37" s="116"/>
      <c r="U37" s="116">
        <f>SUM(U27:U36)</f>
        <v>629250</v>
      </c>
      <c r="V37" s="116"/>
      <c r="W37" s="116"/>
      <c r="X37" s="123"/>
      <c r="Y37" s="116"/>
      <c r="Z37" s="123"/>
      <c r="AA37" s="116">
        <f>SUM(AA27:AA36)</f>
        <v>408160</v>
      </c>
      <c r="AB37" s="129"/>
      <c r="AC37" s="125">
        <f>+I37+U39+AA39+O37</f>
        <v>1179501</v>
      </c>
    </row>
    <row r="38" spans="2:33" x14ac:dyDescent="0.25">
      <c r="B38" s="2"/>
      <c r="C38" s="2"/>
      <c r="D38" s="2"/>
      <c r="E38" s="70"/>
      <c r="F38" s="2"/>
      <c r="G38" s="2"/>
      <c r="H38" s="2"/>
      <c r="I38" s="2"/>
      <c r="J38" s="2"/>
      <c r="K38" s="70"/>
      <c r="L38" s="2"/>
      <c r="M38" s="2"/>
      <c r="N38" s="2"/>
      <c r="O38" s="2"/>
      <c r="U38" s="2">
        <v>6320</v>
      </c>
      <c r="X38" s="70"/>
      <c r="AA38" s="2">
        <v>-19819</v>
      </c>
      <c r="AB38" s="130"/>
      <c r="AC38" s="131">
        <f>AC37-AC23</f>
        <v>0</v>
      </c>
    </row>
    <row r="39" spans="2:33" x14ac:dyDescent="0.25">
      <c r="B39" s="2"/>
      <c r="C39" s="2"/>
      <c r="D39" s="2"/>
      <c r="E39" s="70"/>
      <c r="F39" s="2"/>
      <c r="G39" s="2"/>
      <c r="H39" s="2"/>
      <c r="I39" s="129"/>
      <c r="J39" s="2"/>
      <c r="K39" s="70"/>
      <c r="L39" s="2"/>
      <c r="M39" s="2"/>
      <c r="N39" s="2"/>
      <c r="O39" s="129"/>
      <c r="U39" s="307">
        <f>+U37+U38</f>
        <v>635570</v>
      </c>
      <c r="X39" s="70"/>
      <c r="AA39" s="308">
        <f>+AA37+AA38</f>
        <v>388341</v>
      </c>
      <c r="AB39" s="130"/>
      <c r="AC39" s="131"/>
    </row>
    <row r="40" spans="2:33" x14ac:dyDescent="0.25">
      <c r="B40" s="2"/>
      <c r="C40" s="2"/>
      <c r="D40" s="2"/>
      <c r="E40" s="129"/>
      <c r="F40" s="2"/>
      <c r="G40" s="129"/>
      <c r="H40" s="129"/>
      <c r="I40" s="132"/>
      <c r="J40" s="2"/>
      <c r="K40" s="129"/>
      <c r="L40" s="2"/>
      <c r="M40" s="129"/>
      <c r="N40" s="129"/>
      <c r="O40" s="132"/>
      <c r="P40" s="132"/>
      <c r="Q40" s="132"/>
      <c r="R40" s="132"/>
      <c r="S40" s="132"/>
      <c r="T40" s="132"/>
      <c r="U40" s="132"/>
      <c r="V40" s="165"/>
      <c r="W40" s="165"/>
      <c r="AA40" s="129"/>
      <c r="AB40" s="2"/>
    </row>
    <row r="41" spans="2:33" x14ac:dyDescent="0.25">
      <c r="E41" s="110"/>
      <c r="P41" s="165"/>
      <c r="Q41" s="165"/>
      <c r="Y41" s="1"/>
      <c r="Z41" s="1"/>
    </row>
    <row r="42" spans="2:33" x14ac:dyDescent="0.25">
      <c r="P42" s="165"/>
      <c r="Q42" s="165"/>
      <c r="S42" s="129"/>
      <c r="T42" s="129"/>
      <c r="U42" s="129"/>
      <c r="W42" s="130"/>
    </row>
    <row r="43" spans="2:33" x14ac:dyDescent="0.25">
      <c r="P43" s="165"/>
      <c r="Q43" s="165"/>
    </row>
  </sheetData>
  <mergeCells count="11">
    <mergeCell ref="C4:D4"/>
    <mergeCell ref="B6:B7"/>
    <mergeCell ref="C6:C7"/>
    <mergeCell ref="D6:I6"/>
    <mergeCell ref="J6:O6"/>
    <mergeCell ref="V6:AA6"/>
    <mergeCell ref="AB6:AB7"/>
    <mergeCell ref="AC6:AC7"/>
    <mergeCell ref="AE6:AE7"/>
    <mergeCell ref="Q3:T3"/>
    <mergeCell ref="P6:U6"/>
  </mergeCells>
  <pageMargins left="0" right="0" top="0" bottom="0" header="0" footer="0"/>
  <pageSetup paperSize="9" scale="51" orientation="landscape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>
    <pageSetUpPr fitToPage="1"/>
  </sheetPr>
  <dimension ref="A1:AO43"/>
  <sheetViews>
    <sheetView topLeftCell="A10" workbookViewId="0">
      <pane xSplit="3" topLeftCell="P1" activePane="topRight" state="frozen"/>
      <selection activeCell="X29" sqref="X29"/>
      <selection pane="topRight" activeCell="AE39" sqref="B2:AE39"/>
    </sheetView>
  </sheetViews>
  <sheetFormatPr baseColWidth="10" defaultRowHeight="15" x14ac:dyDescent="0.25"/>
  <cols>
    <col min="1" max="1" width="1.7109375" style="1" customWidth="1"/>
    <col min="2" max="2" width="10" style="1" customWidth="1"/>
    <col min="3" max="3" width="29.140625" style="1" customWidth="1"/>
    <col min="4" max="4" width="5.7109375" style="1" customWidth="1"/>
    <col min="5" max="5" width="10.7109375" style="1" customWidth="1"/>
    <col min="6" max="6" width="5.7109375" style="1" customWidth="1"/>
    <col min="7" max="7" width="10.7109375" style="1" customWidth="1"/>
    <col min="8" max="8" width="5.7109375" style="1" customWidth="1"/>
    <col min="9" max="9" width="10.7109375" style="1" customWidth="1"/>
    <col min="10" max="10" width="5.7109375" style="1" customWidth="1"/>
    <col min="11" max="11" width="10.7109375" style="1" customWidth="1"/>
    <col min="12" max="12" width="5.7109375" style="1" customWidth="1"/>
    <col min="13" max="13" width="10.7109375" style="1" customWidth="1"/>
    <col min="14" max="14" width="5.7109375" style="1" customWidth="1"/>
    <col min="15" max="15" width="10.7109375" style="1" customWidth="1"/>
    <col min="16" max="16" width="5.7109375" style="2" customWidth="1"/>
    <col min="17" max="17" width="10.7109375" style="2" customWidth="1"/>
    <col min="18" max="18" width="5.7109375" style="2" customWidth="1"/>
    <col min="19" max="19" width="10.7109375" style="2" customWidth="1"/>
    <col min="20" max="20" width="5.7109375" style="2" customWidth="1"/>
    <col min="21" max="21" width="10.7109375" style="2" customWidth="1"/>
    <col min="22" max="22" width="5.7109375" style="2" customWidth="1"/>
    <col min="23" max="23" width="10.7109375" style="2" customWidth="1"/>
    <col min="24" max="24" width="5.7109375" style="2" customWidth="1"/>
    <col min="25" max="25" width="10.7109375" style="2" customWidth="1"/>
    <col min="26" max="26" width="5.7109375" style="2" customWidth="1"/>
    <col min="27" max="27" width="10.7109375" style="1" customWidth="1"/>
    <col min="28" max="28" width="9.5703125" style="1" customWidth="1"/>
    <col min="29" max="29" width="14.5703125" style="1" bestFit="1" customWidth="1"/>
    <col min="30" max="30" width="3.28515625" style="1" customWidth="1"/>
    <col min="31" max="31" width="11.42578125" style="1"/>
    <col min="32" max="32" width="3.7109375" style="1" customWidth="1"/>
    <col min="33" max="33" width="10.140625" style="1" customWidth="1"/>
    <col min="34" max="34" width="3.7109375" style="1" customWidth="1"/>
    <col min="35" max="35" width="11.42578125" style="1"/>
    <col min="36" max="36" width="3.7109375" style="1" customWidth="1"/>
    <col min="37" max="37" width="5.7109375" style="1" customWidth="1"/>
    <col min="38" max="38" width="3.7109375" style="1" customWidth="1"/>
    <col min="39" max="39" width="5.7109375" style="1" customWidth="1"/>
    <col min="40" max="40" width="3.7109375" style="1" customWidth="1"/>
    <col min="41" max="41" width="5.7109375" style="1" customWidth="1"/>
    <col min="42" max="16384" width="11.42578125" style="1"/>
  </cols>
  <sheetData>
    <row r="1" spans="1:39" ht="5.25" customHeight="1" x14ac:dyDescent="0.25">
      <c r="Y1" s="1"/>
      <c r="Z1" s="1"/>
    </row>
    <row r="2" spans="1:39" ht="21" x14ac:dyDescent="0.35">
      <c r="B2" s="3" t="s">
        <v>0</v>
      </c>
      <c r="P2" s="1"/>
      <c r="Q2" s="4"/>
      <c r="Z2" s="1"/>
    </row>
    <row r="3" spans="1:39" ht="15" customHeight="1" x14ac:dyDescent="0.25">
      <c r="A3" s="5"/>
      <c r="B3" s="6" t="s">
        <v>1</v>
      </c>
      <c r="C3" s="7"/>
      <c r="D3" s="7"/>
      <c r="E3" s="7"/>
      <c r="F3" s="7"/>
      <c r="P3" s="1"/>
      <c r="Q3" s="353"/>
      <c r="R3" s="353"/>
      <c r="S3" s="353"/>
      <c r="T3" s="353"/>
      <c r="U3" s="149"/>
      <c r="V3" s="149"/>
      <c r="Z3" s="1"/>
    </row>
    <row r="4" spans="1:39" ht="18" customHeight="1" x14ac:dyDescent="0.25">
      <c r="B4" s="150" t="s">
        <v>2</v>
      </c>
      <c r="C4" s="354" t="s">
        <v>50</v>
      </c>
      <c r="D4" s="355"/>
      <c r="E4" s="150"/>
      <c r="F4" s="150"/>
      <c r="P4" s="1"/>
      <c r="Q4" s="9"/>
      <c r="R4" s="10"/>
      <c r="S4" s="9"/>
      <c r="T4" s="9"/>
      <c r="U4" s="9"/>
      <c r="V4" s="9"/>
      <c r="Z4" s="1"/>
    </row>
    <row r="5" spans="1:39" ht="15.75" customHeight="1" thickBot="1" x14ac:dyDescent="0.3">
      <c r="A5" s="150"/>
      <c r="B5" s="150"/>
      <c r="C5" s="150"/>
      <c r="D5" s="189"/>
      <c r="E5" s="189"/>
      <c r="J5" s="189"/>
      <c r="K5" s="189"/>
      <c r="P5" s="1"/>
      <c r="Q5" s="1"/>
      <c r="R5" s="1"/>
      <c r="S5" s="1"/>
      <c r="T5" s="1"/>
      <c r="U5" s="1"/>
      <c r="V5" s="9"/>
      <c r="W5" s="9"/>
      <c r="X5" s="9"/>
      <c r="Y5" s="9"/>
      <c r="Z5" s="9"/>
      <c r="AA5" s="9"/>
      <c r="AB5" s="2"/>
      <c r="AC5" s="2"/>
      <c r="AD5" s="2"/>
    </row>
    <row r="6" spans="1:39" ht="27.75" customHeight="1" thickBot="1" x14ac:dyDescent="0.3">
      <c r="B6" s="356" t="s">
        <v>3</v>
      </c>
      <c r="C6" s="343" t="s">
        <v>4</v>
      </c>
      <c r="D6" s="358" t="s">
        <v>43</v>
      </c>
      <c r="E6" s="359"/>
      <c r="F6" s="360"/>
      <c r="G6" s="360"/>
      <c r="H6" s="360"/>
      <c r="I6" s="361"/>
      <c r="J6" s="370" t="s">
        <v>54</v>
      </c>
      <c r="K6" s="371"/>
      <c r="L6" s="372"/>
      <c r="M6" s="372"/>
      <c r="N6" s="372"/>
      <c r="O6" s="373"/>
      <c r="P6" s="362" t="s">
        <v>46</v>
      </c>
      <c r="Q6" s="363"/>
      <c r="R6" s="364"/>
      <c r="S6" s="364"/>
      <c r="T6" s="364"/>
      <c r="U6" s="365"/>
      <c r="V6" s="366" t="s">
        <v>47</v>
      </c>
      <c r="W6" s="367"/>
      <c r="X6" s="368"/>
      <c r="Y6" s="368"/>
      <c r="Z6" s="368"/>
      <c r="AA6" s="369"/>
      <c r="AB6" s="349" t="s">
        <v>5</v>
      </c>
      <c r="AC6" s="349" t="s">
        <v>6</v>
      </c>
      <c r="AD6" s="2"/>
      <c r="AE6" s="351" t="s">
        <v>7</v>
      </c>
      <c r="AF6" s="2"/>
    </row>
    <row r="7" spans="1:39" ht="25.5" customHeight="1" thickBot="1" x14ac:dyDescent="0.3">
      <c r="B7" s="357"/>
      <c r="C7" s="344"/>
      <c r="D7" s="11" t="s">
        <v>8</v>
      </c>
      <c r="E7" s="12" t="s">
        <v>9</v>
      </c>
      <c r="F7" s="13" t="s">
        <v>8</v>
      </c>
      <c r="G7" s="14" t="s">
        <v>9</v>
      </c>
      <c r="H7" s="11" t="s">
        <v>5</v>
      </c>
      <c r="I7" s="14" t="s">
        <v>10</v>
      </c>
      <c r="J7" s="190" t="s">
        <v>8</v>
      </c>
      <c r="K7" s="192" t="s">
        <v>9</v>
      </c>
      <c r="L7" s="191" t="s">
        <v>8</v>
      </c>
      <c r="M7" s="192" t="s">
        <v>9</v>
      </c>
      <c r="N7" s="190" t="s">
        <v>5</v>
      </c>
      <c r="O7" s="192" t="s">
        <v>10</v>
      </c>
      <c r="P7" s="15" t="s">
        <v>8</v>
      </c>
      <c r="Q7" s="16" t="s">
        <v>9</v>
      </c>
      <c r="R7" s="17" t="s">
        <v>8</v>
      </c>
      <c r="S7" s="16" t="s">
        <v>9</v>
      </c>
      <c r="T7" s="15" t="s">
        <v>5</v>
      </c>
      <c r="U7" s="16" t="s">
        <v>10</v>
      </c>
      <c r="V7" s="18" t="s">
        <v>8</v>
      </c>
      <c r="W7" s="19" t="s">
        <v>9</v>
      </c>
      <c r="X7" s="20" t="s">
        <v>8</v>
      </c>
      <c r="Y7" s="21" t="s">
        <v>9</v>
      </c>
      <c r="Z7" s="18" t="s">
        <v>5</v>
      </c>
      <c r="AA7" s="21" t="s">
        <v>10</v>
      </c>
      <c r="AB7" s="350"/>
      <c r="AC7" s="350"/>
      <c r="AD7" s="2"/>
      <c r="AE7" s="352"/>
      <c r="AG7" s="22" t="s">
        <v>11</v>
      </c>
      <c r="AI7" s="22" t="s">
        <v>12</v>
      </c>
    </row>
    <row r="8" spans="1:39" x14ac:dyDescent="0.25">
      <c r="B8" s="173">
        <v>6320</v>
      </c>
      <c r="C8" s="157" t="s">
        <v>13</v>
      </c>
      <c r="D8" s="24"/>
      <c r="E8" s="25">
        <f>+D8*B8</f>
        <v>0</v>
      </c>
      <c r="F8" s="26">
        <v>3</v>
      </c>
      <c r="G8" s="27">
        <f>6320*3</f>
        <v>18960</v>
      </c>
      <c r="H8" s="28">
        <f>D8+F8</f>
        <v>3</v>
      </c>
      <c r="I8" s="29">
        <f>E8+G8</f>
        <v>18960</v>
      </c>
      <c r="J8" s="199"/>
      <c r="K8" s="200">
        <f>+J8*H8</f>
        <v>0</v>
      </c>
      <c r="L8" s="201">
        <v>5</v>
      </c>
      <c r="M8" s="202">
        <f>6320*5</f>
        <v>31600</v>
      </c>
      <c r="N8" s="193">
        <f>J8+L8</f>
        <v>5</v>
      </c>
      <c r="O8" s="194">
        <f>K8+M8</f>
        <v>31600</v>
      </c>
      <c r="P8" s="30"/>
      <c r="Q8" s="31">
        <f>+P8*B8</f>
        <v>0</v>
      </c>
      <c r="R8" s="32">
        <v>9</v>
      </c>
      <c r="S8" s="33">
        <f>6320*9</f>
        <v>56880</v>
      </c>
      <c r="T8" s="34">
        <f>P8+R8</f>
        <v>9</v>
      </c>
      <c r="U8" s="35">
        <f>Q8+S8</f>
        <v>56880</v>
      </c>
      <c r="V8" s="36"/>
      <c r="W8" s="37">
        <f t="shared" ref="W8:W19" si="0">+V8*B8</f>
        <v>0</v>
      </c>
      <c r="X8" s="38"/>
      <c r="Y8" s="39"/>
      <c r="Z8" s="40">
        <f>V8+X8</f>
        <v>0</v>
      </c>
      <c r="AA8" s="41">
        <f>Y8+W8</f>
        <v>0</v>
      </c>
      <c r="AB8" s="152">
        <f>+D8+F8+P8+R8+V8+X8+L8+J8</f>
        <v>17</v>
      </c>
      <c r="AC8" s="220">
        <f>+E8+G8+Q8+S8+W8+Y8+K8+M8</f>
        <v>107440</v>
      </c>
      <c r="AD8" s="44"/>
      <c r="AE8" s="45"/>
      <c r="AG8" s="187">
        <f>E8+W8+Q8+K8</f>
        <v>0</v>
      </c>
      <c r="AI8" s="156">
        <f>G8+Y8+S8+M8</f>
        <v>107440</v>
      </c>
      <c r="AK8" s="139">
        <f>F8+R8+X8+L8</f>
        <v>17</v>
      </c>
      <c r="AM8" s="139">
        <f>+D8+P8+V8+J8</f>
        <v>0</v>
      </c>
    </row>
    <row r="9" spans="1:39" x14ac:dyDescent="0.25">
      <c r="B9" s="174">
        <v>6320</v>
      </c>
      <c r="C9" s="180" t="s">
        <v>14</v>
      </c>
      <c r="D9" s="47"/>
      <c r="E9" s="48">
        <f t="shared" ref="E9:E19" si="1">+D9*B9</f>
        <v>0</v>
      </c>
      <c r="F9" s="49"/>
      <c r="G9" s="50"/>
      <c r="H9" s="51">
        <f>D9+F9</f>
        <v>0</v>
      </c>
      <c r="I9" s="52">
        <f>G9+E9</f>
        <v>0</v>
      </c>
      <c r="J9" s="203"/>
      <c r="K9" s="204">
        <f t="shared" ref="K9:K15" si="2">+J9*H9</f>
        <v>0</v>
      </c>
      <c r="L9" s="205">
        <v>6</v>
      </c>
      <c r="M9" s="206">
        <f>6320*6</f>
        <v>37920</v>
      </c>
      <c r="N9" s="195">
        <f>J9+L9</f>
        <v>6</v>
      </c>
      <c r="O9" s="196">
        <f>M9+K9</f>
        <v>37920</v>
      </c>
      <c r="P9" s="53"/>
      <c r="Q9" s="54">
        <f t="shared" ref="Q9:Q19" si="3">+P9*B9</f>
        <v>0</v>
      </c>
      <c r="R9" s="55">
        <v>4</v>
      </c>
      <c r="S9" s="56">
        <f>6320*4</f>
        <v>25280</v>
      </c>
      <c r="T9" s="57">
        <f>P9+R9</f>
        <v>4</v>
      </c>
      <c r="U9" s="58">
        <f>S9+Q9</f>
        <v>25280</v>
      </c>
      <c r="V9" s="59"/>
      <c r="W9" s="60">
        <f t="shared" si="0"/>
        <v>0</v>
      </c>
      <c r="X9" s="61"/>
      <c r="Y9" s="62"/>
      <c r="Z9" s="63">
        <f>V9+X9</f>
        <v>0</v>
      </c>
      <c r="AA9" s="41">
        <f>Y9+W9</f>
        <v>0</v>
      </c>
      <c r="AB9" s="152">
        <f t="shared" ref="AB9:AB22" si="4">+D9+F9+P9+R9+V9+X9+L9+J9</f>
        <v>10</v>
      </c>
      <c r="AC9" s="220">
        <f t="shared" ref="AC9:AC22" si="5">+E9+G9+Q9+S9+W9+Y9+K9+M9</f>
        <v>63200</v>
      </c>
      <c r="AD9" s="44"/>
      <c r="AE9" s="64"/>
      <c r="AG9" s="218">
        <f t="shared" ref="AG9:AG22" si="6">E9+W9+Q9+K9</f>
        <v>0</v>
      </c>
      <c r="AI9" s="151">
        <f t="shared" ref="AI9:AI22" si="7">G9+Y9+S9+M9</f>
        <v>63200</v>
      </c>
      <c r="AK9" s="142">
        <f t="shared" ref="AK9:AK22" si="8">F9+R9+X9+L9</f>
        <v>10</v>
      </c>
      <c r="AM9" s="142">
        <f t="shared" ref="AM9:AM22" si="9">+D9+P9+V9+J9</f>
        <v>0</v>
      </c>
    </row>
    <row r="10" spans="1:39" x14ac:dyDescent="0.25">
      <c r="B10" s="174">
        <v>6320</v>
      </c>
      <c r="C10" s="46" t="s">
        <v>16</v>
      </c>
      <c r="D10" s="47"/>
      <c r="E10" s="48">
        <f t="shared" si="1"/>
        <v>0</v>
      </c>
      <c r="F10" s="49"/>
      <c r="G10" s="50"/>
      <c r="H10" s="51">
        <f t="shared" ref="H10:H22" si="10">D10+F10</f>
        <v>0</v>
      </c>
      <c r="I10" s="52">
        <f t="shared" ref="I10:I22" si="11">G10+E10</f>
        <v>0</v>
      </c>
      <c r="J10" s="203"/>
      <c r="K10" s="204">
        <f t="shared" si="2"/>
        <v>0</v>
      </c>
      <c r="L10" s="205"/>
      <c r="M10" s="206"/>
      <c r="N10" s="195">
        <f t="shared" ref="N10:N22" si="12">J10+L10</f>
        <v>0</v>
      </c>
      <c r="O10" s="196">
        <f t="shared" ref="O10:O22" si="13">M10+K10</f>
        <v>0</v>
      </c>
      <c r="P10" s="53"/>
      <c r="Q10" s="54">
        <f t="shared" si="3"/>
        <v>0</v>
      </c>
      <c r="R10" s="55"/>
      <c r="S10" s="56"/>
      <c r="T10" s="57">
        <f t="shared" ref="T10:T22" si="14">P10+R10</f>
        <v>0</v>
      </c>
      <c r="U10" s="58">
        <f t="shared" ref="U10:U22" si="15">S10+Q10</f>
        <v>0</v>
      </c>
      <c r="V10" s="59"/>
      <c r="W10" s="60">
        <f t="shared" si="0"/>
        <v>0</v>
      </c>
      <c r="X10" s="61"/>
      <c r="Y10" s="62"/>
      <c r="Z10" s="63">
        <f t="shared" ref="Z10:Z22" si="16">V10+X10</f>
        <v>0</v>
      </c>
      <c r="AA10" s="41">
        <f t="shared" ref="AA10:AA22" si="17">Y10+W10</f>
        <v>0</v>
      </c>
      <c r="AB10" s="42">
        <f t="shared" si="4"/>
        <v>0</v>
      </c>
      <c r="AC10" s="188">
        <f t="shared" si="5"/>
        <v>0</v>
      </c>
      <c r="AD10" s="44"/>
      <c r="AE10" s="64"/>
      <c r="AG10" s="218">
        <f t="shared" si="6"/>
        <v>0</v>
      </c>
      <c r="AI10" s="64">
        <f t="shared" si="7"/>
        <v>0</v>
      </c>
      <c r="AK10" s="142">
        <f t="shared" si="8"/>
        <v>0</v>
      </c>
      <c r="AM10" s="142">
        <f t="shared" si="9"/>
        <v>0</v>
      </c>
    </row>
    <row r="11" spans="1:39" x14ac:dyDescent="0.25">
      <c r="B11" s="174">
        <v>6320</v>
      </c>
      <c r="C11" s="153" t="s">
        <v>17</v>
      </c>
      <c r="D11" s="65"/>
      <c r="E11" s="48">
        <f t="shared" si="1"/>
        <v>0</v>
      </c>
      <c r="F11" s="49"/>
      <c r="G11" s="50"/>
      <c r="H11" s="51">
        <f t="shared" si="10"/>
        <v>0</v>
      </c>
      <c r="I11" s="52">
        <f t="shared" si="11"/>
        <v>0</v>
      </c>
      <c r="J11" s="207"/>
      <c r="K11" s="204">
        <f t="shared" si="2"/>
        <v>0</v>
      </c>
      <c r="L11" s="205">
        <v>7</v>
      </c>
      <c r="M11" s="206">
        <f>6320*6+632</f>
        <v>38552</v>
      </c>
      <c r="N11" s="195">
        <f t="shared" si="12"/>
        <v>7</v>
      </c>
      <c r="O11" s="196">
        <f t="shared" si="13"/>
        <v>38552</v>
      </c>
      <c r="P11" s="66"/>
      <c r="Q11" s="54">
        <f t="shared" si="3"/>
        <v>0</v>
      </c>
      <c r="R11" s="67">
        <v>3</v>
      </c>
      <c r="S11" s="56">
        <f>6320*3</f>
        <v>18960</v>
      </c>
      <c r="T11" s="57">
        <f t="shared" si="14"/>
        <v>3</v>
      </c>
      <c r="U11" s="58">
        <f t="shared" si="15"/>
        <v>18960</v>
      </c>
      <c r="V11" s="68"/>
      <c r="W11" s="60">
        <f t="shared" si="0"/>
        <v>0</v>
      </c>
      <c r="X11" s="69"/>
      <c r="Y11" s="62"/>
      <c r="Z11" s="63">
        <f t="shared" si="16"/>
        <v>0</v>
      </c>
      <c r="AA11" s="41">
        <f t="shared" si="17"/>
        <v>0</v>
      </c>
      <c r="AB11" s="152">
        <f t="shared" si="4"/>
        <v>10</v>
      </c>
      <c r="AC11" s="220">
        <f t="shared" si="5"/>
        <v>57512</v>
      </c>
      <c r="AD11" s="70"/>
      <c r="AE11" s="151">
        <v>5688</v>
      </c>
      <c r="AG11" s="218">
        <f t="shared" si="6"/>
        <v>0</v>
      </c>
      <c r="AI11" s="151">
        <f t="shared" si="7"/>
        <v>57512</v>
      </c>
      <c r="AK11" s="142">
        <f t="shared" si="8"/>
        <v>10</v>
      </c>
      <c r="AM11" s="142">
        <f t="shared" si="9"/>
        <v>0</v>
      </c>
    </row>
    <row r="12" spans="1:39" x14ac:dyDescent="0.25">
      <c r="B12" s="174">
        <v>6320</v>
      </c>
      <c r="C12" s="153" t="s">
        <v>18</v>
      </c>
      <c r="D12" s="65"/>
      <c r="E12" s="48">
        <f t="shared" si="1"/>
        <v>0</v>
      </c>
      <c r="F12" s="49"/>
      <c r="G12" s="50"/>
      <c r="H12" s="51">
        <f t="shared" si="10"/>
        <v>0</v>
      </c>
      <c r="I12" s="52">
        <f t="shared" si="11"/>
        <v>0</v>
      </c>
      <c r="J12" s="207"/>
      <c r="K12" s="204">
        <f t="shared" si="2"/>
        <v>0</v>
      </c>
      <c r="L12" s="205">
        <v>3</v>
      </c>
      <c r="M12" s="206">
        <f>6320*2+2528</f>
        <v>15168</v>
      </c>
      <c r="N12" s="195">
        <f t="shared" si="12"/>
        <v>3</v>
      </c>
      <c r="O12" s="196">
        <f t="shared" si="13"/>
        <v>15168</v>
      </c>
      <c r="P12" s="66"/>
      <c r="Q12" s="54">
        <f t="shared" si="3"/>
        <v>0</v>
      </c>
      <c r="R12" s="67">
        <v>4</v>
      </c>
      <c r="S12" s="56">
        <f>6320*4</f>
        <v>25280</v>
      </c>
      <c r="T12" s="57">
        <f t="shared" si="14"/>
        <v>4</v>
      </c>
      <c r="U12" s="58">
        <f t="shared" si="15"/>
        <v>25280</v>
      </c>
      <c r="V12" s="68"/>
      <c r="W12" s="60">
        <f t="shared" si="0"/>
        <v>0</v>
      </c>
      <c r="X12" s="69"/>
      <c r="Y12" s="62"/>
      <c r="Z12" s="63">
        <f t="shared" si="16"/>
        <v>0</v>
      </c>
      <c r="AA12" s="41">
        <f t="shared" si="17"/>
        <v>0</v>
      </c>
      <c r="AB12" s="152">
        <f t="shared" si="4"/>
        <v>7</v>
      </c>
      <c r="AC12" s="220">
        <f t="shared" si="5"/>
        <v>40448</v>
      </c>
      <c r="AD12" s="71"/>
      <c r="AE12" s="151">
        <v>3792</v>
      </c>
      <c r="AG12" s="218">
        <f t="shared" si="6"/>
        <v>0</v>
      </c>
      <c r="AI12" s="151">
        <f t="shared" si="7"/>
        <v>40448</v>
      </c>
      <c r="AK12" s="142">
        <f t="shared" si="8"/>
        <v>7</v>
      </c>
      <c r="AM12" s="142">
        <f t="shared" si="9"/>
        <v>0</v>
      </c>
    </row>
    <row r="13" spans="1:39" x14ac:dyDescent="0.25">
      <c r="B13" s="174">
        <v>6320</v>
      </c>
      <c r="C13" s="46" t="s">
        <v>19</v>
      </c>
      <c r="D13" s="65"/>
      <c r="E13" s="48">
        <f t="shared" si="1"/>
        <v>0</v>
      </c>
      <c r="F13" s="49"/>
      <c r="G13" s="50"/>
      <c r="H13" s="51">
        <f t="shared" si="10"/>
        <v>0</v>
      </c>
      <c r="I13" s="52">
        <f t="shared" si="11"/>
        <v>0</v>
      </c>
      <c r="J13" s="207"/>
      <c r="K13" s="204">
        <f t="shared" si="2"/>
        <v>0</v>
      </c>
      <c r="L13" s="205"/>
      <c r="M13" s="206"/>
      <c r="N13" s="195">
        <f t="shared" si="12"/>
        <v>0</v>
      </c>
      <c r="O13" s="196">
        <f t="shared" si="13"/>
        <v>0</v>
      </c>
      <c r="P13" s="66"/>
      <c r="Q13" s="54">
        <f t="shared" si="3"/>
        <v>0</v>
      </c>
      <c r="R13" s="67"/>
      <c r="S13" s="56"/>
      <c r="T13" s="57">
        <f t="shared" si="14"/>
        <v>0</v>
      </c>
      <c r="U13" s="58">
        <f t="shared" si="15"/>
        <v>0</v>
      </c>
      <c r="V13" s="68"/>
      <c r="W13" s="60">
        <f t="shared" si="0"/>
        <v>0</v>
      </c>
      <c r="X13" s="69"/>
      <c r="Y13" s="62"/>
      <c r="Z13" s="63">
        <f t="shared" si="16"/>
        <v>0</v>
      </c>
      <c r="AA13" s="41">
        <f t="shared" si="17"/>
        <v>0</v>
      </c>
      <c r="AB13" s="42">
        <f t="shared" si="4"/>
        <v>0</v>
      </c>
      <c r="AC13" s="188">
        <f t="shared" si="5"/>
        <v>0</v>
      </c>
      <c r="AD13" s="70"/>
      <c r="AE13" s="64"/>
      <c r="AG13" s="218">
        <f t="shared" si="6"/>
        <v>0</v>
      </c>
      <c r="AI13" s="64">
        <f t="shared" si="7"/>
        <v>0</v>
      </c>
      <c r="AK13" s="142">
        <f t="shared" si="8"/>
        <v>0</v>
      </c>
      <c r="AM13" s="142">
        <f t="shared" si="9"/>
        <v>0</v>
      </c>
    </row>
    <row r="14" spans="1:39" x14ac:dyDescent="0.25">
      <c r="B14" s="174">
        <v>6320</v>
      </c>
      <c r="C14" s="153" t="s">
        <v>20</v>
      </c>
      <c r="D14" s="65"/>
      <c r="E14" s="48">
        <f t="shared" si="1"/>
        <v>0</v>
      </c>
      <c r="F14" s="49"/>
      <c r="G14" s="50"/>
      <c r="H14" s="51">
        <f t="shared" si="10"/>
        <v>0</v>
      </c>
      <c r="I14" s="52">
        <f t="shared" si="11"/>
        <v>0</v>
      </c>
      <c r="J14" s="207"/>
      <c r="K14" s="204">
        <f t="shared" si="2"/>
        <v>0</v>
      </c>
      <c r="L14" s="205"/>
      <c r="M14" s="206"/>
      <c r="N14" s="195">
        <f t="shared" si="12"/>
        <v>0</v>
      </c>
      <c r="O14" s="196">
        <f t="shared" si="13"/>
        <v>0</v>
      </c>
      <c r="P14" s="66"/>
      <c r="Q14" s="54">
        <f t="shared" si="3"/>
        <v>0</v>
      </c>
      <c r="R14" s="67">
        <v>5</v>
      </c>
      <c r="S14" s="56">
        <f>6320*5</f>
        <v>31600</v>
      </c>
      <c r="T14" s="57">
        <f t="shared" si="14"/>
        <v>5</v>
      </c>
      <c r="U14" s="58">
        <f t="shared" si="15"/>
        <v>31600</v>
      </c>
      <c r="V14" s="68"/>
      <c r="W14" s="60">
        <f t="shared" si="0"/>
        <v>0</v>
      </c>
      <c r="X14" s="69"/>
      <c r="Y14" s="62"/>
      <c r="Z14" s="63">
        <f t="shared" si="16"/>
        <v>0</v>
      </c>
      <c r="AA14" s="41">
        <f t="shared" si="17"/>
        <v>0</v>
      </c>
      <c r="AB14" s="152">
        <f t="shared" si="4"/>
        <v>5</v>
      </c>
      <c r="AC14" s="220">
        <f t="shared" si="5"/>
        <v>31600</v>
      </c>
      <c r="AD14" s="70"/>
      <c r="AE14" s="64"/>
      <c r="AG14" s="218">
        <f t="shared" si="6"/>
        <v>0</v>
      </c>
      <c r="AI14" s="151">
        <f t="shared" si="7"/>
        <v>31600</v>
      </c>
      <c r="AK14" s="142">
        <f t="shared" si="8"/>
        <v>5</v>
      </c>
      <c r="AM14" s="142">
        <f t="shared" si="9"/>
        <v>0</v>
      </c>
    </row>
    <row r="15" spans="1:39" x14ac:dyDescent="0.25">
      <c r="B15" s="174">
        <v>6320</v>
      </c>
      <c r="C15" s="46" t="s">
        <v>21</v>
      </c>
      <c r="D15" s="65"/>
      <c r="E15" s="48">
        <f t="shared" si="1"/>
        <v>0</v>
      </c>
      <c r="F15" s="49"/>
      <c r="G15" s="50"/>
      <c r="H15" s="51">
        <f t="shared" si="10"/>
        <v>0</v>
      </c>
      <c r="I15" s="52">
        <f t="shared" si="11"/>
        <v>0</v>
      </c>
      <c r="J15" s="207"/>
      <c r="K15" s="204">
        <f t="shared" si="2"/>
        <v>0</v>
      </c>
      <c r="L15" s="205"/>
      <c r="M15" s="206"/>
      <c r="N15" s="195">
        <f t="shared" si="12"/>
        <v>0</v>
      </c>
      <c r="O15" s="196">
        <f t="shared" si="13"/>
        <v>0</v>
      </c>
      <c r="P15" s="66"/>
      <c r="Q15" s="54">
        <f t="shared" si="3"/>
        <v>0</v>
      </c>
      <c r="R15" s="67"/>
      <c r="S15" s="56"/>
      <c r="T15" s="57">
        <f t="shared" si="14"/>
        <v>0</v>
      </c>
      <c r="U15" s="58">
        <f t="shared" si="15"/>
        <v>0</v>
      </c>
      <c r="V15" s="68"/>
      <c r="W15" s="60">
        <f t="shared" si="0"/>
        <v>0</v>
      </c>
      <c r="X15" s="69"/>
      <c r="Y15" s="62"/>
      <c r="Z15" s="63">
        <f t="shared" si="16"/>
        <v>0</v>
      </c>
      <c r="AA15" s="41">
        <f t="shared" si="17"/>
        <v>0</v>
      </c>
      <c r="AB15" s="42">
        <f t="shared" si="4"/>
        <v>0</v>
      </c>
      <c r="AC15" s="188">
        <f t="shared" si="5"/>
        <v>0</v>
      </c>
      <c r="AD15" s="70"/>
      <c r="AE15" s="64"/>
      <c r="AG15" s="218">
        <f t="shared" si="6"/>
        <v>0</v>
      </c>
      <c r="AI15" s="64">
        <f t="shared" si="7"/>
        <v>0</v>
      </c>
      <c r="AK15" s="142">
        <f t="shared" si="8"/>
        <v>0</v>
      </c>
      <c r="AM15" s="142">
        <f t="shared" si="9"/>
        <v>0</v>
      </c>
    </row>
    <row r="16" spans="1:39" x14ac:dyDescent="0.25">
      <c r="B16" s="174" t="s">
        <v>26</v>
      </c>
      <c r="C16" s="46" t="s">
        <v>33</v>
      </c>
      <c r="D16" s="65"/>
      <c r="E16" s="48">
        <v>0</v>
      </c>
      <c r="F16" s="49"/>
      <c r="G16" s="50"/>
      <c r="H16" s="51">
        <f t="shared" si="10"/>
        <v>0</v>
      </c>
      <c r="I16" s="52">
        <f t="shared" si="11"/>
        <v>0</v>
      </c>
      <c r="J16" s="207"/>
      <c r="K16" s="204">
        <v>0</v>
      </c>
      <c r="L16" s="205"/>
      <c r="M16" s="206"/>
      <c r="N16" s="195">
        <f t="shared" si="12"/>
        <v>0</v>
      </c>
      <c r="O16" s="196">
        <f t="shared" si="13"/>
        <v>0</v>
      </c>
      <c r="P16" s="66"/>
      <c r="Q16" s="54">
        <v>0</v>
      </c>
      <c r="R16" s="67"/>
      <c r="S16" s="56"/>
      <c r="T16" s="57">
        <f t="shared" si="14"/>
        <v>0</v>
      </c>
      <c r="U16" s="58">
        <v>0</v>
      </c>
      <c r="V16" s="68"/>
      <c r="W16" s="60">
        <v>0</v>
      </c>
      <c r="X16" s="69"/>
      <c r="Y16" s="62"/>
      <c r="Z16" s="63">
        <f>+X16+V16</f>
        <v>0</v>
      </c>
      <c r="AA16" s="41">
        <f>+Y16+W16</f>
        <v>0</v>
      </c>
      <c r="AB16" s="42">
        <f t="shared" si="4"/>
        <v>0</v>
      </c>
      <c r="AC16" s="188">
        <f t="shared" si="5"/>
        <v>0</v>
      </c>
      <c r="AD16" s="70"/>
      <c r="AE16" s="64"/>
      <c r="AG16" s="218">
        <f t="shared" si="6"/>
        <v>0</v>
      </c>
      <c r="AI16" s="64">
        <f t="shared" si="7"/>
        <v>0</v>
      </c>
      <c r="AK16" s="142">
        <f t="shared" si="8"/>
        <v>0</v>
      </c>
      <c r="AM16" s="142">
        <f t="shared" si="9"/>
        <v>0</v>
      </c>
    </row>
    <row r="17" spans="2:41" x14ac:dyDescent="0.25">
      <c r="B17" s="175">
        <v>14010</v>
      </c>
      <c r="C17" s="46" t="s">
        <v>23</v>
      </c>
      <c r="D17" s="65"/>
      <c r="E17" s="48">
        <f t="shared" si="1"/>
        <v>0</v>
      </c>
      <c r="F17" s="49"/>
      <c r="G17" s="50"/>
      <c r="H17" s="51">
        <f t="shared" si="10"/>
        <v>0</v>
      </c>
      <c r="I17" s="52">
        <f t="shared" si="11"/>
        <v>0</v>
      </c>
      <c r="J17" s="207"/>
      <c r="K17" s="204">
        <f>+J17*H17</f>
        <v>0</v>
      </c>
      <c r="L17" s="205"/>
      <c r="M17" s="206"/>
      <c r="N17" s="195">
        <f t="shared" si="12"/>
        <v>0</v>
      </c>
      <c r="O17" s="196">
        <f t="shared" si="13"/>
        <v>0</v>
      </c>
      <c r="P17" s="66"/>
      <c r="Q17" s="54">
        <f t="shared" si="3"/>
        <v>0</v>
      </c>
      <c r="R17" s="67"/>
      <c r="S17" s="56"/>
      <c r="T17" s="57">
        <f t="shared" si="14"/>
        <v>0</v>
      </c>
      <c r="U17" s="58">
        <f t="shared" si="15"/>
        <v>0</v>
      </c>
      <c r="V17" s="68"/>
      <c r="W17" s="60">
        <f t="shared" si="0"/>
        <v>0</v>
      </c>
      <c r="X17" s="69"/>
      <c r="Y17" s="62"/>
      <c r="Z17" s="63">
        <f t="shared" si="16"/>
        <v>0</v>
      </c>
      <c r="AA17" s="41">
        <f t="shared" si="17"/>
        <v>0</v>
      </c>
      <c r="AB17" s="42">
        <f t="shared" si="4"/>
        <v>0</v>
      </c>
      <c r="AC17" s="188">
        <f t="shared" si="5"/>
        <v>0</v>
      </c>
      <c r="AD17" s="70"/>
      <c r="AE17" s="64"/>
      <c r="AG17" s="218">
        <f t="shared" si="6"/>
        <v>0</v>
      </c>
      <c r="AI17" s="64">
        <f t="shared" si="7"/>
        <v>0</v>
      </c>
      <c r="AK17" s="142">
        <f t="shared" si="8"/>
        <v>0</v>
      </c>
      <c r="AM17" s="142">
        <f t="shared" si="9"/>
        <v>0</v>
      </c>
    </row>
    <row r="18" spans="2:41" x14ac:dyDescent="0.25">
      <c r="B18" s="174">
        <v>11870</v>
      </c>
      <c r="C18" s="46" t="s">
        <v>24</v>
      </c>
      <c r="D18" s="65"/>
      <c r="E18" s="48">
        <f t="shared" si="1"/>
        <v>0</v>
      </c>
      <c r="F18" s="49"/>
      <c r="G18" s="50"/>
      <c r="H18" s="51">
        <f t="shared" si="10"/>
        <v>0</v>
      </c>
      <c r="I18" s="52">
        <f t="shared" si="11"/>
        <v>0</v>
      </c>
      <c r="J18" s="207"/>
      <c r="K18" s="204">
        <f>+J18*H18</f>
        <v>0</v>
      </c>
      <c r="L18" s="205"/>
      <c r="M18" s="206"/>
      <c r="N18" s="195">
        <f t="shared" si="12"/>
        <v>0</v>
      </c>
      <c r="O18" s="196">
        <f t="shared" si="13"/>
        <v>0</v>
      </c>
      <c r="P18" s="66"/>
      <c r="Q18" s="54">
        <f t="shared" si="3"/>
        <v>0</v>
      </c>
      <c r="R18" s="67"/>
      <c r="S18" s="56"/>
      <c r="T18" s="57">
        <f t="shared" si="14"/>
        <v>0</v>
      </c>
      <c r="U18" s="58">
        <f t="shared" si="15"/>
        <v>0</v>
      </c>
      <c r="V18" s="68"/>
      <c r="W18" s="60">
        <f t="shared" si="0"/>
        <v>0</v>
      </c>
      <c r="X18" s="69"/>
      <c r="Y18" s="62"/>
      <c r="Z18" s="63">
        <f t="shared" si="16"/>
        <v>0</v>
      </c>
      <c r="AA18" s="41">
        <f t="shared" si="17"/>
        <v>0</v>
      </c>
      <c r="AB18" s="42">
        <f t="shared" si="4"/>
        <v>0</v>
      </c>
      <c r="AC18" s="188">
        <f t="shared" si="5"/>
        <v>0</v>
      </c>
      <c r="AD18" s="70"/>
      <c r="AE18" s="64"/>
      <c r="AG18" s="218">
        <f t="shared" si="6"/>
        <v>0</v>
      </c>
      <c r="AI18" s="64">
        <f t="shared" si="7"/>
        <v>0</v>
      </c>
      <c r="AK18" s="142">
        <f t="shared" si="8"/>
        <v>0</v>
      </c>
      <c r="AM18" s="142">
        <f t="shared" si="9"/>
        <v>0</v>
      </c>
    </row>
    <row r="19" spans="2:41" x14ac:dyDescent="0.25">
      <c r="B19" s="174">
        <v>6710</v>
      </c>
      <c r="C19" s="46" t="s">
        <v>0</v>
      </c>
      <c r="D19" s="65"/>
      <c r="E19" s="48">
        <f t="shared" si="1"/>
        <v>0</v>
      </c>
      <c r="F19" s="72"/>
      <c r="G19" s="50"/>
      <c r="H19" s="51">
        <f t="shared" si="10"/>
        <v>0</v>
      </c>
      <c r="I19" s="52">
        <f t="shared" si="11"/>
        <v>0</v>
      </c>
      <c r="J19" s="207"/>
      <c r="K19" s="204">
        <f>+J19*H19</f>
        <v>0</v>
      </c>
      <c r="L19" s="208"/>
      <c r="M19" s="206"/>
      <c r="N19" s="195">
        <f t="shared" si="12"/>
        <v>0</v>
      </c>
      <c r="O19" s="196">
        <f t="shared" si="13"/>
        <v>0</v>
      </c>
      <c r="P19" s="66"/>
      <c r="Q19" s="54">
        <f t="shared" si="3"/>
        <v>0</v>
      </c>
      <c r="R19" s="73"/>
      <c r="S19" s="56"/>
      <c r="T19" s="57">
        <f t="shared" si="14"/>
        <v>0</v>
      </c>
      <c r="U19" s="58">
        <f t="shared" si="15"/>
        <v>0</v>
      </c>
      <c r="V19" s="68"/>
      <c r="W19" s="60">
        <f t="shared" si="0"/>
        <v>0</v>
      </c>
      <c r="X19" s="74"/>
      <c r="Y19" s="62"/>
      <c r="Z19" s="63">
        <f t="shared" si="16"/>
        <v>0</v>
      </c>
      <c r="AA19" s="41">
        <f t="shared" si="17"/>
        <v>0</v>
      </c>
      <c r="AB19" s="42">
        <f t="shared" si="4"/>
        <v>0</v>
      </c>
      <c r="AC19" s="188">
        <f t="shared" si="5"/>
        <v>0</v>
      </c>
      <c r="AD19" s="70"/>
      <c r="AE19" s="64"/>
      <c r="AF19" s="1" t="s">
        <v>25</v>
      </c>
      <c r="AG19" s="218">
        <f t="shared" si="6"/>
        <v>0</v>
      </c>
      <c r="AI19" s="64">
        <f t="shared" si="7"/>
        <v>0</v>
      </c>
      <c r="AK19" s="142">
        <f t="shared" si="8"/>
        <v>0</v>
      </c>
      <c r="AM19" s="142">
        <f t="shared" si="9"/>
        <v>0</v>
      </c>
    </row>
    <row r="20" spans="2:41" x14ac:dyDescent="0.25">
      <c r="B20" s="174" t="s">
        <v>26</v>
      </c>
      <c r="C20" s="46" t="s">
        <v>0</v>
      </c>
      <c r="D20" s="65"/>
      <c r="E20" s="48">
        <v>0</v>
      </c>
      <c r="F20" s="49"/>
      <c r="G20" s="50"/>
      <c r="H20" s="51">
        <f t="shared" si="10"/>
        <v>0</v>
      </c>
      <c r="I20" s="52">
        <f t="shared" si="11"/>
        <v>0</v>
      </c>
      <c r="J20" s="207"/>
      <c r="K20" s="204">
        <v>0</v>
      </c>
      <c r="L20" s="205"/>
      <c r="M20" s="206"/>
      <c r="N20" s="195">
        <f t="shared" si="12"/>
        <v>0</v>
      </c>
      <c r="O20" s="196">
        <f t="shared" si="13"/>
        <v>0</v>
      </c>
      <c r="P20" s="66"/>
      <c r="Q20" s="54">
        <v>0</v>
      </c>
      <c r="R20" s="67"/>
      <c r="S20" s="56"/>
      <c r="T20" s="57">
        <f t="shared" si="14"/>
        <v>0</v>
      </c>
      <c r="U20" s="58">
        <f t="shared" si="15"/>
        <v>0</v>
      </c>
      <c r="V20" s="68"/>
      <c r="W20" s="60">
        <v>0</v>
      </c>
      <c r="X20" s="69"/>
      <c r="Y20" s="62"/>
      <c r="Z20" s="63">
        <f t="shared" si="16"/>
        <v>0</v>
      </c>
      <c r="AA20" s="41">
        <f t="shared" si="17"/>
        <v>0</v>
      </c>
      <c r="AB20" s="42">
        <f t="shared" si="4"/>
        <v>0</v>
      </c>
      <c r="AC20" s="188">
        <f t="shared" si="5"/>
        <v>0</v>
      </c>
      <c r="AD20" s="70"/>
      <c r="AE20" s="64"/>
      <c r="AG20" s="218">
        <f t="shared" si="6"/>
        <v>0</v>
      </c>
      <c r="AI20" s="64">
        <f t="shared" si="7"/>
        <v>0</v>
      </c>
      <c r="AK20" s="142">
        <f t="shared" si="8"/>
        <v>0</v>
      </c>
      <c r="AM20" s="142">
        <f t="shared" si="9"/>
        <v>0</v>
      </c>
    </row>
    <row r="21" spans="2:41" x14ac:dyDescent="0.25">
      <c r="B21" s="174" t="s">
        <v>26</v>
      </c>
      <c r="C21" s="153" t="s">
        <v>28</v>
      </c>
      <c r="D21" s="65"/>
      <c r="E21" s="75">
        <v>0</v>
      </c>
      <c r="F21" s="49"/>
      <c r="G21" s="50"/>
      <c r="H21" s="51">
        <f t="shared" si="10"/>
        <v>0</v>
      </c>
      <c r="I21" s="52">
        <f t="shared" si="11"/>
        <v>0</v>
      </c>
      <c r="J21" s="207"/>
      <c r="K21" s="209">
        <v>0</v>
      </c>
      <c r="L21" s="205">
        <v>3</v>
      </c>
      <c r="M21" s="206">
        <f>17160*2+30250</f>
        <v>64570</v>
      </c>
      <c r="N21" s="195">
        <f t="shared" si="12"/>
        <v>3</v>
      </c>
      <c r="O21" s="196">
        <f t="shared" si="13"/>
        <v>64570</v>
      </c>
      <c r="P21" s="66"/>
      <c r="Q21" s="54">
        <v>0</v>
      </c>
      <c r="R21" s="67"/>
      <c r="S21" s="56"/>
      <c r="T21" s="57">
        <f t="shared" si="14"/>
        <v>0</v>
      </c>
      <c r="U21" s="58">
        <f t="shared" si="15"/>
        <v>0</v>
      </c>
      <c r="V21" s="68"/>
      <c r="W21" s="60">
        <v>0</v>
      </c>
      <c r="X21" s="69">
        <v>2</v>
      </c>
      <c r="Y21" s="270">
        <f>17160*2</f>
        <v>34320</v>
      </c>
      <c r="Z21" s="63">
        <f t="shared" si="16"/>
        <v>2</v>
      </c>
      <c r="AA21" s="41">
        <f t="shared" si="17"/>
        <v>34320</v>
      </c>
      <c r="AB21" s="152">
        <f t="shared" si="4"/>
        <v>5</v>
      </c>
      <c r="AC21" s="220">
        <f t="shared" si="5"/>
        <v>98890</v>
      </c>
      <c r="AD21" s="70"/>
      <c r="AE21" s="64"/>
      <c r="AG21" s="218">
        <f t="shared" si="6"/>
        <v>0</v>
      </c>
      <c r="AI21" s="151">
        <f>G21+Y21+S21+M21</f>
        <v>98890</v>
      </c>
      <c r="AK21" s="142">
        <f t="shared" si="8"/>
        <v>5</v>
      </c>
      <c r="AM21" s="142">
        <f t="shared" si="9"/>
        <v>0</v>
      </c>
    </row>
    <row r="22" spans="2:41" ht="15.75" thickBot="1" x14ac:dyDescent="0.3">
      <c r="B22" s="176" t="s">
        <v>26</v>
      </c>
      <c r="C22" s="155" t="s">
        <v>29</v>
      </c>
      <c r="D22" s="77"/>
      <c r="E22" s="78">
        <v>0</v>
      </c>
      <c r="F22" s="79">
        <v>2</v>
      </c>
      <c r="G22" s="80">
        <f>8320+12380</f>
        <v>20700</v>
      </c>
      <c r="H22" s="81">
        <f t="shared" si="10"/>
        <v>2</v>
      </c>
      <c r="I22" s="82">
        <f t="shared" si="11"/>
        <v>20700</v>
      </c>
      <c r="J22" s="210"/>
      <c r="K22" s="211">
        <v>0</v>
      </c>
      <c r="L22" s="212">
        <v>3</v>
      </c>
      <c r="M22" s="213">
        <f>25420+18410+31150</f>
        <v>74980</v>
      </c>
      <c r="N22" s="197">
        <f t="shared" si="12"/>
        <v>3</v>
      </c>
      <c r="O22" s="198">
        <f t="shared" si="13"/>
        <v>74980</v>
      </c>
      <c r="P22" s="83"/>
      <c r="Q22" s="84">
        <v>0</v>
      </c>
      <c r="R22" s="85">
        <v>4</v>
      </c>
      <c r="S22" s="86">
        <f>41730+20830+7180+70580</f>
        <v>140320</v>
      </c>
      <c r="T22" s="87">
        <f t="shared" si="14"/>
        <v>4</v>
      </c>
      <c r="U22" s="88">
        <f t="shared" si="15"/>
        <v>140320</v>
      </c>
      <c r="V22" s="89"/>
      <c r="W22" s="60">
        <v>0</v>
      </c>
      <c r="X22" s="300"/>
      <c r="Y22" s="301"/>
      <c r="Z22" s="92">
        <f t="shared" si="16"/>
        <v>0</v>
      </c>
      <c r="AA22" s="93">
        <f t="shared" si="17"/>
        <v>0</v>
      </c>
      <c r="AB22" s="152">
        <f t="shared" si="4"/>
        <v>9</v>
      </c>
      <c r="AC22" s="220">
        <f t="shared" si="5"/>
        <v>236000</v>
      </c>
      <c r="AD22" s="70"/>
      <c r="AE22" s="94"/>
      <c r="AG22" s="219">
        <f t="shared" si="6"/>
        <v>0</v>
      </c>
      <c r="AI22" s="154">
        <f t="shared" si="7"/>
        <v>236000</v>
      </c>
      <c r="AK22" s="144">
        <f t="shared" si="8"/>
        <v>9</v>
      </c>
      <c r="AM22" s="144">
        <f t="shared" si="9"/>
        <v>0</v>
      </c>
    </row>
    <row r="23" spans="2:41" ht="15.75" thickBot="1" x14ac:dyDescent="0.3">
      <c r="D23" s="95">
        <f t="shared" ref="D23:I23" si="18">SUM(D8:D22)</f>
        <v>0</v>
      </c>
      <c r="E23" s="96">
        <f t="shared" si="18"/>
        <v>0</v>
      </c>
      <c r="F23" s="95">
        <f t="shared" si="18"/>
        <v>5</v>
      </c>
      <c r="G23" s="97">
        <f t="shared" si="18"/>
        <v>39660</v>
      </c>
      <c r="H23" s="279">
        <f t="shared" si="18"/>
        <v>5</v>
      </c>
      <c r="I23" s="280">
        <f t="shared" si="18"/>
        <v>39660</v>
      </c>
      <c r="J23" s="214">
        <f t="shared" ref="J23:O23" si="19">SUM(J8:J22)</f>
        <v>0</v>
      </c>
      <c r="K23" s="215">
        <f t="shared" si="19"/>
        <v>0</v>
      </c>
      <c r="L23" s="214">
        <f t="shared" si="19"/>
        <v>27</v>
      </c>
      <c r="M23" s="216">
        <f t="shared" si="19"/>
        <v>262790</v>
      </c>
      <c r="N23" s="217">
        <f t="shared" si="19"/>
        <v>27</v>
      </c>
      <c r="O23" s="99">
        <f t="shared" si="19"/>
        <v>262790</v>
      </c>
      <c r="P23" s="100">
        <f t="shared" ref="P23:AA23" si="20">SUM(P8:P22)</f>
        <v>0</v>
      </c>
      <c r="Q23" s="101">
        <f t="shared" si="20"/>
        <v>0</v>
      </c>
      <c r="R23" s="100">
        <f t="shared" si="20"/>
        <v>29</v>
      </c>
      <c r="S23" s="102">
        <f t="shared" si="20"/>
        <v>298320</v>
      </c>
      <c r="T23" s="103">
        <f t="shared" si="20"/>
        <v>29</v>
      </c>
      <c r="U23" s="277">
        <f t="shared" si="20"/>
        <v>298320</v>
      </c>
      <c r="V23" s="105">
        <f t="shared" si="20"/>
        <v>0</v>
      </c>
      <c r="W23" s="106">
        <f t="shared" si="20"/>
        <v>0</v>
      </c>
      <c r="X23" s="296">
        <f t="shared" si="20"/>
        <v>2</v>
      </c>
      <c r="Y23" s="297">
        <f t="shared" si="20"/>
        <v>34320</v>
      </c>
      <c r="Z23" s="108">
        <f t="shared" si="20"/>
        <v>2</v>
      </c>
      <c r="AA23" s="278">
        <f t="shared" si="20"/>
        <v>34320</v>
      </c>
      <c r="AB23" s="109" t="s">
        <v>9</v>
      </c>
      <c r="AC23" s="43">
        <f>SUM(AC8:AC22)</f>
        <v>635090</v>
      </c>
      <c r="AD23" s="70"/>
      <c r="AE23" s="1">
        <f>SUM(AE8:AE22)</f>
        <v>9480</v>
      </c>
      <c r="AI23" s="110"/>
      <c r="AK23" s="1">
        <f>SUM(AK8:AK22)</f>
        <v>63</v>
      </c>
      <c r="AM23" s="1">
        <f>SUM(AM8:AM22)</f>
        <v>0</v>
      </c>
      <c r="AO23" s="1">
        <f>+AK23+AM23</f>
        <v>63</v>
      </c>
    </row>
    <row r="24" spans="2:41" x14ac:dyDescent="0.25">
      <c r="G24" s="111"/>
      <c r="H24" s="111"/>
      <c r="I24" s="111"/>
      <c r="M24" s="111"/>
      <c r="N24" s="111"/>
      <c r="O24" s="111"/>
      <c r="P24" s="111"/>
      <c r="Q24" s="111"/>
      <c r="S24" s="111"/>
      <c r="T24" s="111"/>
      <c r="U24" s="111"/>
      <c r="V24" s="288">
        <f>X23+F23+R23+L23</f>
        <v>63</v>
      </c>
      <c r="W24" s="113">
        <f>G23+Y23+S23+M23</f>
        <v>635090</v>
      </c>
      <c r="X24" s="111"/>
      <c r="Y24" s="111"/>
      <c r="Z24" s="111"/>
      <c r="AA24" s="111"/>
      <c r="AB24" s="2"/>
      <c r="AC24" s="70">
        <f>AA23+U23+I23+O23</f>
        <v>635090</v>
      </c>
      <c r="AD24" s="2"/>
    </row>
    <row r="25" spans="2:41" x14ac:dyDescent="0.25">
      <c r="D25" s="114" t="s">
        <v>30</v>
      </c>
      <c r="E25" s="114"/>
      <c r="G25" s="114"/>
      <c r="H25" s="114"/>
      <c r="I25" s="114"/>
      <c r="J25" s="114"/>
      <c r="K25" s="114"/>
      <c r="M25" s="114"/>
      <c r="N25" s="114"/>
      <c r="O25" s="114"/>
      <c r="P25" s="114"/>
      <c r="Q25" s="114"/>
      <c r="R25" s="114"/>
      <c r="S25" s="114"/>
      <c r="T25" s="114"/>
      <c r="U25" s="114"/>
      <c r="Y25" s="70"/>
      <c r="AA25" s="2"/>
      <c r="AB25" s="2"/>
      <c r="AC25" s="2"/>
      <c r="AD25" s="2"/>
    </row>
    <row r="26" spans="2:41" x14ac:dyDescent="0.25">
      <c r="D26" s="114"/>
      <c r="E26" s="114"/>
      <c r="J26" s="114"/>
      <c r="K26" s="114"/>
      <c r="P26" s="1"/>
      <c r="Q26" s="1"/>
      <c r="R26" s="1"/>
      <c r="S26" s="1"/>
      <c r="T26" s="1"/>
      <c r="U26" s="1"/>
      <c r="Y26" s="70"/>
      <c r="AA26" s="2"/>
      <c r="AB26" s="2"/>
      <c r="AC26" s="2"/>
      <c r="AD26" s="2"/>
    </row>
    <row r="27" spans="2:41" x14ac:dyDescent="0.25">
      <c r="C27" s="115">
        <v>20000</v>
      </c>
      <c r="D27" s="115"/>
      <c r="E27" s="115"/>
      <c r="F27" s="116"/>
      <c r="G27" s="117"/>
      <c r="H27" s="118"/>
      <c r="I27" s="119">
        <v>40000</v>
      </c>
      <c r="J27" s="115"/>
      <c r="K27" s="115"/>
      <c r="L27" s="116"/>
      <c r="M27" s="117"/>
      <c r="N27" s="118"/>
      <c r="O27" s="119">
        <v>60000</v>
      </c>
      <c r="P27" s="119"/>
      <c r="Q27" s="119"/>
      <c r="R27" s="119"/>
      <c r="S27" s="119"/>
      <c r="T27" s="119"/>
      <c r="U27" s="119">
        <v>120000</v>
      </c>
      <c r="V27" s="119"/>
      <c r="W27" s="119"/>
      <c r="X27" s="120"/>
      <c r="Y27" s="121"/>
      <c r="Z27" s="120"/>
      <c r="AA27" s="119">
        <v>20000</v>
      </c>
      <c r="AB27" s="122"/>
      <c r="AC27" s="122"/>
      <c r="AD27" s="2"/>
      <c r="AE27" s="2"/>
      <c r="AF27" s="2"/>
    </row>
    <row r="28" spans="2:41" x14ac:dyDescent="0.25">
      <c r="C28" s="115">
        <v>10000</v>
      </c>
      <c r="D28" s="115"/>
      <c r="E28" s="115"/>
      <c r="F28" s="116"/>
      <c r="G28" s="117"/>
      <c r="H28" s="118"/>
      <c r="I28" s="119">
        <v>0</v>
      </c>
      <c r="J28" s="115"/>
      <c r="K28" s="115"/>
      <c r="L28" s="116"/>
      <c r="M28" s="117"/>
      <c r="N28" s="118"/>
      <c r="O28" s="119">
        <v>80000</v>
      </c>
      <c r="P28" s="119"/>
      <c r="Q28" s="119"/>
      <c r="R28" s="119"/>
      <c r="S28" s="119"/>
      <c r="T28" s="119"/>
      <c r="U28" s="119">
        <v>70000</v>
      </c>
      <c r="V28" s="119"/>
      <c r="W28" s="119"/>
      <c r="X28" s="120"/>
      <c r="Y28" s="122"/>
      <c r="Z28" s="120"/>
      <c r="AA28" s="119">
        <v>10000</v>
      </c>
      <c r="AB28" s="122"/>
      <c r="AC28" s="122"/>
      <c r="AD28" s="2"/>
      <c r="AE28" s="2"/>
      <c r="AF28" s="2"/>
    </row>
    <row r="29" spans="2:41" x14ac:dyDescent="0.25">
      <c r="C29" s="115">
        <v>5000</v>
      </c>
      <c r="D29" s="115"/>
      <c r="E29" s="115"/>
      <c r="F29" s="116"/>
      <c r="G29" s="117"/>
      <c r="H29" s="118"/>
      <c r="I29" s="119">
        <v>0</v>
      </c>
      <c r="J29" s="115"/>
      <c r="K29" s="115"/>
      <c r="L29" s="116"/>
      <c r="M29" s="117"/>
      <c r="N29" s="118"/>
      <c r="O29" s="119">
        <v>50000</v>
      </c>
      <c r="P29" s="119"/>
      <c r="Q29" s="119"/>
      <c r="R29" s="119"/>
      <c r="S29" s="119"/>
      <c r="T29" s="119"/>
      <c r="U29" s="119">
        <v>0</v>
      </c>
      <c r="V29" s="119"/>
      <c r="W29" s="119"/>
      <c r="X29" s="120"/>
      <c r="Y29" s="121"/>
      <c r="Z29" s="120"/>
      <c r="AA29" s="119">
        <v>5000</v>
      </c>
      <c r="AB29" s="122"/>
      <c r="AC29" s="122"/>
      <c r="AD29" s="2"/>
      <c r="AE29" s="2"/>
      <c r="AF29" s="2"/>
    </row>
    <row r="30" spans="2:41" x14ac:dyDescent="0.25">
      <c r="C30" s="115">
        <v>2000</v>
      </c>
      <c r="D30" s="115"/>
      <c r="E30" s="115"/>
      <c r="F30" s="116"/>
      <c r="G30" s="117"/>
      <c r="H30" s="118"/>
      <c r="I30" s="119">
        <v>0</v>
      </c>
      <c r="J30" s="115"/>
      <c r="K30" s="115"/>
      <c r="L30" s="116"/>
      <c r="M30" s="117"/>
      <c r="N30" s="118"/>
      <c r="O30" s="119">
        <v>0</v>
      </c>
      <c r="P30" s="119"/>
      <c r="Q30" s="119"/>
      <c r="R30" s="119"/>
      <c r="S30" s="119"/>
      <c r="T30" s="119"/>
      <c r="U30" s="119">
        <v>0</v>
      </c>
      <c r="V30" s="119"/>
      <c r="W30" s="119"/>
      <c r="X30" s="120"/>
      <c r="Y30" s="121"/>
      <c r="Z30" s="120"/>
      <c r="AA30" s="119"/>
      <c r="AB30" s="122"/>
      <c r="AC30" s="122"/>
      <c r="AD30" s="123"/>
    </row>
    <row r="31" spans="2:41" x14ac:dyDescent="0.25">
      <c r="C31" s="115">
        <v>1000</v>
      </c>
      <c r="D31" s="115"/>
      <c r="E31" s="115"/>
      <c r="F31" s="116"/>
      <c r="G31" s="117"/>
      <c r="H31" s="118"/>
      <c r="I31" s="124">
        <v>0</v>
      </c>
      <c r="J31" s="115"/>
      <c r="K31" s="115"/>
      <c r="L31" s="116"/>
      <c r="M31" s="117"/>
      <c r="N31" s="118"/>
      <c r="O31" s="124">
        <v>9000</v>
      </c>
      <c r="P31" s="124"/>
      <c r="Q31" s="124"/>
      <c r="R31" s="124"/>
      <c r="S31" s="124"/>
      <c r="T31" s="124"/>
      <c r="U31" s="124">
        <v>0</v>
      </c>
      <c r="V31" s="124"/>
      <c r="W31" s="124"/>
      <c r="X31" s="120"/>
      <c r="Y31" s="121"/>
      <c r="Z31" s="120"/>
      <c r="AA31" s="124"/>
      <c r="AB31" s="122"/>
      <c r="AC31" s="122"/>
      <c r="AD31" s="2"/>
    </row>
    <row r="32" spans="2:41" x14ac:dyDescent="0.25">
      <c r="C32" s="115">
        <v>500</v>
      </c>
      <c r="D32" s="115"/>
      <c r="E32" s="115"/>
      <c r="F32" s="116"/>
      <c r="G32" s="117"/>
      <c r="H32" s="118"/>
      <c r="I32" s="119">
        <v>0</v>
      </c>
      <c r="J32" s="115"/>
      <c r="K32" s="115"/>
      <c r="L32" s="116"/>
      <c r="M32" s="117"/>
      <c r="N32" s="118"/>
      <c r="O32" s="119">
        <v>500</v>
      </c>
      <c r="P32" s="119"/>
      <c r="Q32" s="119"/>
      <c r="R32" s="119"/>
      <c r="S32" s="119"/>
      <c r="T32" s="119"/>
      <c r="U32" s="119">
        <v>500</v>
      </c>
      <c r="V32" s="119"/>
      <c r="W32" s="119"/>
      <c r="X32" s="120"/>
      <c r="Y32" s="121"/>
      <c r="Z32" s="120"/>
      <c r="AA32" s="119"/>
      <c r="AB32" s="121"/>
      <c r="AC32" s="121"/>
      <c r="AD32" s="2"/>
    </row>
    <row r="33" spans="2:33" x14ac:dyDescent="0.25">
      <c r="C33" s="115">
        <v>100</v>
      </c>
      <c r="D33" s="115"/>
      <c r="E33" s="115"/>
      <c r="F33" s="116"/>
      <c r="G33" s="117"/>
      <c r="H33" s="118"/>
      <c r="I33" s="119">
        <v>0</v>
      </c>
      <c r="J33" s="115"/>
      <c r="K33" s="115"/>
      <c r="L33" s="116"/>
      <c r="M33" s="117"/>
      <c r="N33" s="118"/>
      <c r="O33" s="119">
        <v>0</v>
      </c>
      <c r="P33" s="119"/>
      <c r="Q33" s="119"/>
      <c r="R33" s="119"/>
      <c r="S33" s="119"/>
      <c r="T33" s="119"/>
      <c r="U33" s="119">
        <v>300</v>
      </c>
      <c r="V33" s="119"/>
      <c r="W33" s="119"/>
      <c r="X33" s="120"/>
      <c r="Y33" s="121"/>
      <c r="Z33" s="120"/>
      <c r="AA33" s="119"/>
      <c r="AB33" s="121"/>
      <c r="AC33" s="121"/>
      <c r="AD33" s="2"/>
    </row>
    <row r="34" spans="2:33" x14ac:dyDescent="0.25">
      <c r="C34" s="115">
        <v>50</v>
      </c>
      <c r="D34" s="115"/>
      <c r="E34" s="115"/>
      <c r="F34" s="116"/>
      <c r="G34" s="117"/>
      <c r="H34" s="118"/>
      <c r="I34" s="119">
        <v>0</v>
      </c>
      <c r="J34" s="115"/>
      <c r="K34" s="115"/>
      <c r="L34" s="116"/>
      <c r="M34" s="117"/>
      <c r="N34" s="118"/>
      <c r="O34" s="119">
        <v>50</v>
      </c>
      <c r="P34" s="119"/>
      <c r="Q34" s="119"/>
      <c r="R34" s="119"/>
      <c r="S34" s="119"/>
      <c r="T34" s="119"/>
      <c r="U34" s="119">
        <v>50</v>
      </c>
      <c r="V34" s="119"/>
      <c r="W34" s="119"/>
      <c r="X34" s="120"/>
      <c r="Y34" s="121"/>
      <c r="Z34" s="120"/>
      <c r="AA34" s="119"/>
      <c r="AB34" s="121"/>
      <c r="AC34" s="121"/>
      <c r="AD34" s="2"/>
    </row>
    <row r="35" spans="2:33" x14ac:dyDescent="0.25">
      <c r="C35" s="115">
        <v>10</v>
      </c>
      <c r="D35" s="115"/>
      <c r="E35" s="115"/>
      <c r="F35" s="116"/>
      <c r="G35" s="117"/>
      <c r="H35" s="118"/>
      <c r="I35" s="119">
        <v>0</v>
      </c>
      <c r="J35" s="115"/>
      <c r="K35" s="115"/>
      <c r="L35" s="116"/>
      <c r="M35" s="117"/>
      <c r="N35" s="118"/>
      <c r="O35" s="119">
        <v>40</v>
      </c>
      <c r="P35" s="119"/>
      <c r="Q35" s="119"/>
      <c r="R35" s="119"/>
      <c r="S35" s="119"/>
      <c r="T35" s="119"/>
      <c r="U35" s="119">
        <v>30</v>
      </c>
      <c r="V35" s="119"/>
      <c r="W35" s="119"/>
      <c r="X35" s="120"/>
      <c r="Y35" s="121"/>
      <c r="Z35" s="120"/>
      <c r="AA35" s="119"/>
      <c r="AB35" s="121"/>
      <c r="AC35" s="121"/>
      <c r="AD35" s="2"/>
      <c r="AG35" s="1" t="s">
        <v>25</v>
      </c>
    </row>
    <row r="36" spans="2:33" x14ac:dyDescent="0.25">
      <c r="C36" s="1" t="s">
        <v>32</v>
      </c>
      <c r="E36" s="131"/>
      <c r="G36" s="125"/>
      <c r="H36" s="118"/>
      <c r="I36" s="124">
        <v>-340</v>
      </c>
      <c r="K36" s="131"/>
      <c r="M36" s="125"/>
      <c r="N36" s="118"/>
      <c r="O36" s="124">
        <v>63200</v>
      </c>
      <c r="P36" s="124"/>
      <c r="Q36" s="124"/>
      <c r="R36" s="124"/>
      <c r="S36" s="124"/>
      <c r="T36" s="124"/>
      <c r="U36" s="124">
        <v>107440</v>
      </c>
      <c r="V36" s="124"/>
      <c r="W36" s="124"/>
      <c r="X36" s="120"/>
      <c r="Y36" s="124"/>
      <c r="Z36" s="120"/>
      <c r="AA36" s="124">
        <v>-680</v>
      </c>
      <c r="AB36" s="124"/>
      <c r="AC36" s="124"/>
      <c r="AD36" s="2"/>
    </row>
    <row r="37" spans="2:33" s="114" customFormat="1" ht="15.75" x14ac:dyDescent="0.25">
      <c r="F37" s="126"/>
      <c r="G37" s="127"/>
      <c r="I37" s="128">
        <f>SUM(I27:I36)</f>
        <v>39660</v>
      </c>
      <c r="L37" s="126"/>
      <c r="M37" s="127"/>
      <c r="O37" s="128">
        <f>SUM(O27:O36)</f>
        <v>262790</v>
      </c>
      <c r="P37" s="116"/>
      <c r="Q37" s="116"/>
      <c r="R37" s="116"/>
      <c r="S37" s="116"/>
      <c r="T37" s="116"/>
      <c r="U37" s="128">
        <f>SUM(U27:U36)</f>
        <v>298320</v>
      </c>
      <c r="V37" s="116"/>
      <c r="W37" s="116"/>
      <c r="X37" s="123"/>
      <c r="Y37" s="116"/>
      <c r="Z37" s="123"/>
      <c r="AA37" s="128">
        <f>SUM(AA27:AA36)</f>
        <v>34320</v>
      </c>
      <c r="AB37" s="129"/>
      <c r="AC37" s="125">
        <f>+I37+U37+AA37+O37</f>
        <v>635090</v>
      </c>
    </row>
    <row r="38" spans="2:33" x14ac:dyDescent="0.25">
      <c r="B38" s="2"/>
      <c r="C38" s="2"/>
      <c r="D38" s="2"/>
      <c r="E38" s="70"/>
      <c r="F38" s="2"/>
      <c r="G38" s="2"/>
      <c r="H38" s="2"/>
      <c r="I38" s="2"/>
      <c r="J38" s="2"/>
      <c r="K38" s="70"/>
      <c r="L38" s="2"/>
      <c r="N38" s="2"/>
      <c r="O38" s="2"/>
      <c r="X38" s="70"/>
      <c r="AA38" s="2"/>
      <c r="AB38" s="130"/>
      <c r="AC38" s="131">
        <f>AC37-AC24</f>
        <v>0</v>
      </c>
    </row>
    <row r="39" spans="2:33" x14ac:dyDescent="0.25">
      <c r="B39" s="2"/>
      <c r="C39" s="2"/>
      <c r="D39" s="2"/>
      <c r="E39" s="70"/>
      <c r="F39" s="2"/>
      <c r="G39" s="2"/>
      <c r="H39" s="2"/>
      <c r="I39" s="129"/>
      <c r="J39" s="2"/>
      <c r="K39" s="70"/>
      <c r="L39" s="2"/>
      <c r="M39" s="2"/>
      <c r="N39" s="2"/>
      <c r="O39" s="129"/>
      <c r="X39" s="70"/>
      <c r="AA39" s="2"/>
      <c r="AB39" s="130"/>
      <c r="AC39" s="131"/>
    </row>
    <row r="40" spans="2:33" x14ac:dyDescent="0.25">
      <c r="B40" s="2"/>
      <c r="C40" s="2"/>
      <c r="D40" s="2"/>
      <c r="E40" s="129"/>
      <c r="F40" s="2"/>
      <c r="G40" s="129"/>
      <c r="H40" s="129"/>
      <c r="I40" s="132"/>
      <c r="J40" s="132"/>
      <c r="K40" s="132"/>
      <c r="L40" s="132"/>
      <c r="M40" s="132"/>
      <c r="N40" s="132"/>
      <c r="O40" s="132"/>
      <c r="P40" s="165"/>
      <c r="Q40" s="165"/>
      <c r="U40" s="129"/>
      <c r="W40" s="1"/>
      <c r="X40" s="1"/>
      <c r="Y40" s="1"/>
      <c r="Z40" s="1"/>
    </row>
    <row r="41" spans="2:33" x14ac:dyDescent="0.25">
      <c r="E41" s="110"/>
      <c r="P41" s="165"/>
      <c r="Q41" s="165"/>
      <c r="Y41" s="1"/>
      <c r="Z41" s="1"/>
    </row>
    <row r="42" spans="2:33" x14ac:dyDescent="0.25">
      <c r="P42" s="165"/>
      <c r="Q42" s="165"/>
      <c r="S42" s="129"/>
      <c r="T42" s="129"/>
      <c r="U42" s="129"/>
      <c r="W42" s="130"/>
    </row>
    <row r="43" spans="2:33" x14ac:dyDescent="0.25">
      <c r="P43" s="165"/>
      <c r="Q43" s="165"/>
    </row>
  </sheetData>
  <mergeCells count="11">
    <mergeCell ref="Q3:T3"/>
    <mergeCell ref="C4:D4"/>
    <mergeCell ref="V6:AA6"/>
    <mergeCell ref="AB6:AB7"/>
    <mergeCell ref="AC6:AC7"/>
    <mergeCell ref="AE6:AE7"/>
    <mergeCell ref="B6:B7"/>
    <mergeCell ref="C6:C7"/>
    <mergeCell ref="D6:I6"/>
    <mergeCell ref="J6:O6"/>
    <mergeCell ref="P6:U6"/>
  </mergeCells>
  <pageMargins left="0" right="0" top="0" bottom="0" header="0" footer="0"/>
  <pageSetup paperSize="9" scale="70" orientation="landscape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>
    <pageSetUpPr fitToPage="1"/>
  </sheetPr>
  <dimension ref="A1:AO47"/>
  <sheetViews>
    <sheetView workbookViewId="0">
      <pane xSplit="3" topLeftCell="D1" activePane="topRight" state="frozen"/>
      <selection activeCell="X29" sqref="X29"/>
      <selection pane="topRight" activeCell="AF39" sqref="B2:AF39"/>
    </sheetView>
  </sheetViews>
  <sheetFormatPr baseColWidth="10" defaultRowHeight="15" x14ac:dyDescent="0.25"/>
  <cols>
    <col min="1" max="1" width="1.7109375" style="1" customWidth="1"/>
    <col min="2" max="2" width="10" style="1" customWidth="1"/>
    <col min="3" max="3" width="29.140625" style="1" customWidth="1"/>
    <col min="4" max="4" width="5.7109375" style="1" customWidth="1"/>
    <col min="5" max="5" width="10.7109375" style="1" customWidth="1"/>
    <col min="6" max="6" width="5.7109375" style="1" customWidth="1"/>
    <col min="7" max="7" width="10.7109375" style="1" customWidth="1"/>
    <col min="8" max="8" width="5.7109375" style="1" customWidth="1"/>
    <col min="9" max="9" width="10.7109375" style="1" customWidth="1"/>
    <col min="10" max="10" width="5.7109375" style="1" customWidth="1"/>
    <col min="11" max="11" width="10.7109375" style="1" customWidth="1"/>
    <col min="12" max="12" width="5.7109375" style="1" customWidth="1"/>
    <col min="13" max="13" width="10.7109375" style="1" customWidth="1"/>
    <col min="14" max="14" width="5.7109375" style="1" customWidth="1"/>
    <col min="15" max="15" width="10.7109375" style="1" customWidth="1"/>
    <col min="16" max="16" width="5.7109375" style="2" customWidth="1"/>
    <col min="17" max="17" width="10.7109375" style="2" customWidth="1"/>
    <col min="18" max="18" width="5.7109375" style="2" customWidth="1"/>
    <col min="19" max="19" width="10.7109375" style="2" customWidth="1"/>
    <col min="20" max="20" width="5.7109375" style="2" customWidth="1"/>
    <col min="21" max="21" width="10.7109375" style="2" customWidth="1"/>
    <col min="22" max="22" width="5.7109375" style="2" customWidth="1"/>
    <col min="23" max="23" width="10.7109375" style="2" customWidth="1"/>
    <col min="24" max="24" width="5.7109375" style="2" customWidth="1"/>
    <col min="25" max="25" width="10.7109375" style="2" customWidth="1"/>
    <col min="26" max="26" width="5.7109375" style="2" customWidth="1"/>
    <col min="27" max="27" width="10.7109375" style="1" customWidth="1"/>
    <col min="28" max="28" width="9.5703125" style="1" customWidth="1"/>
    <col min="29" max="29" width="14.5703125" style="1" bestFit="1" customWidth="1"/>
    <col min="30" max="30" width="3.28515625" style="1" customWidth="1"/>
    <col min="31" max="31" width="11.42578125" style="1"/>
    <col min="32" max="32" width="3.7109375" style="1" customWidth="1"/>
    <col min="33" max="33" width="10.140625" style="1" customWidth="1"/>
    <col min="34" max="34" width="3.7109375" style="1" customWidth="1"/>
    <col min="35" max="35" width="11.42578125" style="1"/>
    <col min="36" max="36" width="3.7109375" style="1" customWidth="1"/>
    <col min="37" max="37" width="5.7109375" style="1" customWidth="1"/>
    <col min="38" max="38" width="3.7109375" style="1" customWidth="1"/>
    <col min="39" max="39" width="5.7109375" style="1" customWidth="1"/>
    <col min="40" max="40" width="3.7109375" style="1" customWidth="1"/>
    <col min="41" max="41" width="5.7109375" style="1" customWidth="1"/>
    <col min="42" max="16384" width="11.42578125" style="1"/>
  </cols>
  <sheetData>
    <row r="1" spans="1:39" ht="5.25" customHeight="1" x14ac:dyDescent="0.25">
      <c r="Y1" s="1"/>
      <c r="Z1" s="1"/>
    </row>
    <row r="2" spans="1:39" ht="21" x14ac:dyDescent="0.35">
      <c r="B2" s="3" t="s">
        <v>0</v>
      </c>
      <c r="P2" s="1"/>
      <c r="Q2" s="4"/>
      <c r="Z2" s="1"/>
    </row>
    <row r="3" spans="1:39" ht="15" customHeight="1" x14ac:dyDescent="0.25">
      <c r="A3" s="5"/>
      <c r="B3" s="6" t="s">
        <v>1</v>
      </c>
      <c r="C3" s="7"/>
      <c r="D3" s="7"/>
      <c r="E3" s="7"/>
      <c r="F3" s="7"/>
      <c r="P3" s="1"/>
      <c r="Q3" s="353"/>
      <c r="R3" s="353"/>
      <c r="S3" s="353"/>
      <c r="T3" s="353"/>
      <c r="U3" s="149"/>
      <c r="V3" s="149"/>
      <c r="Z3" s="1"/>
    </row>
    <row r="4" spans="1:39" ht="18" customHeight="1" x14ac:dyDescent="0.25">
      <c r="B4" s="150" t="s">
        <v>2</v>
      </c>
      <c r="C4" s="354" t="s">
        <v>51</v>
      </c>
      <c r="D4" s="355"/>
      <c r="E4" s="150"/>
      <c r="F4" s="150"/>
      <c r="P4" s="1"/>
      <c r="Q4" s="9"/>
      <c r="R4" s="10"/>
      <c r="S4" s="9"/>
      <c r="T4" s="9"/>
      <c r="U4" s="9"/>
      <c r="V4" s="9"/>
      <c r="Z4" s="1"/>
    </row>
    <row r="5" spans="1:39" ht="15.75" thickBot="1" x14ac:dyDescent="0.3">
      <c r="A5" s="150"/>
      <c r="B5" s="150"/>
      <c r="C5" s="150"/>
      <c r="D5" s="189"/>
      <c r="E5" s="189"/>
      <c r="J5" s="189"/>
      <c r="K5" s="189"/>
      <c r="P5" s="1"/>
      <c r="Q5" s="1"/>
      <c r="R5" s="1"/>
      <c r="S5" s="1"/>
      <c r="T5" s="1"/>
      <c r="U5" s="1"/>
      <c r="V5" s="9"/>
      <c r="W5" s="9"/>
      <c r="X5" s="9"/>
      <c r="Y5" s="9"/>
      <c r="Z5" s="9"/>
      <c r="AA5" s="9"/>
      <c r="AB5" s="2"/>
      <c r="AC5" s="2"/>
      <c r="AD5" s="2"/>
    </row>
    <row r="6" spans="1:39" ht="27.75" customHeight="1" thickBot="1" x14ac:dyDescent="0.3">
      <c r="B6" s="356" t="s">
        <v>3</v>
      </c>
      <c r="C6" s="343" t="s">
        <v>4</v>
      </c>
      <c r="D6" s="358" t="s">
        <v>36</v>
      </c>
      <c r="E6" s="359"/>
      <c r="F6" s="360"/>
      <c r="G6" s="360"/>
      <c r="H6" s="360"/>
      <c r="I6" s="361"/>
      <c r="J6" s="370" t="s">
        <v>42</v>
      </c>
      <c r="K6" s="371"/>
      <c r="L6" s="372"/>
      <c r="M6" s="372"/>
      <c r="N6" s="372"/>
      <c r="O6" s="373"/>
      <c r="P6" s="362" t="s">
        <v>47</v>
      </c>
      <c r="Q6" s="363"/>
      <c r="R6" s="364"/>
      <c r="S6" s="364"/>
      <c r="T6" s="364"/>
      <c r="U6" s="365"/>
      <c r="V6" s="366" t="s">
        <v>54</v>
      </c>
      <c r="W6" s="367"/>
      <c r="X6" s="368"/>
      <c r="Y6" s="368"/>
      <c r="Z6" s="368"/>
      <c r="AA6" s="369"/>
      <c r="AB6" s="349" t="s">
        <v>5</v>
      </c>
      <c r="AC6" s="349" t="s">
        <v>6</v>
      </c>
      <c r="AD6" s="2"/>
      <c r="AE6" s="351" t="s">
        <v>7</v>
      </c>
      <c r="AF6" s="2"/>
    </row>
    <row r="7" spans="1:39" ht="25.5" customHeight="1" thickBot="1" x14ac:dyDescent="0.3">
      <c r="B7" s="357"/>
      <c r="C7" s="344"/>
      <c r="D7" s="11" t="s">
        <v>8</v>
      </c>
      <c r="E7" s="14" t="s">
        <v>9</v>
      </c>
      <c r="F7" s="13" t="s">
        <v>8</v>
      </c>
      <c r="G7" s="14" t="s">
        <v>9</v>
      </c>
      <c r="H7" s="11" t="s">
        <v>5</v>
      </c>
      <c r="I7" s="14" t="s">
        <v>10</v>
      </c>
      <c r="J7" s="309" t="s">
        <v>8</v>
      </c>
      <c r="K7" s="310" t="s">
        <v>9</v>
      </c>
      <c r="L7" s="191" t="s">
        <v>8</v>
      </c>
      <c r="M7" s="192" t="s">
        <v>9</v>
      </c>
      <c r="N7" s="190" t="s">
        <v>5</v>
      </c>
      <c r="O7" s="192" t="s">
        <v>10</v>
      </c>
      <c r="P7" s="15" t="s">
        <v>8</v>
      </c>
      <c r="Q7" s="16" t="s">
        <v>9</v>
      </c>
      <c r="R7" s="17" t="s">
        <v>8</v>
      </c>
      <c r="S7" s="16" t="s">
        <v>9</v>
      </c>
      <c r="T7" s="15" t="s">
        <v>5</v>
      </c>
      <c r="U7" s="16" t="s">
        <v>10</v>
      </c>
      <c r="V7" s="18" t="s">
        <v>8</v>
      </c>
      <c r="W7" s="19" t="s">
        <v>9</v>
      </c>
      <c r="X7" s="20" t="s">
        <v>8</v>
      </c>
      <c r="Y7" s="21" t="s">
        <v>9</v>
      </c>
      <c r="Z7" s="18" t="s">
        <v>5</v>
      </c>
      <c r="AA7" s="21" t="s">
        <v>10</v>
      </c>
      <c r="AB7" s="350"/>
      <c r="AC7" s="350"/>
      <c r="AD7" s="2"/>
      <c r="AE7" s="352"/>
      <c r="AG7" s="22" t="s">
        <v>11</v>
      </c>
      <c r="AI7" s="22" t="s">
        <v>12</v>
      </c>
    </row>
    <row r="8" spans="1:39" x14ac:dyDescent="0.25">
      <c r="B8" s="173">
        <v>6320</v>
      </c>
      <c r="C8" s="312" t="s">
        <v>13</v>
      </c>
      <c r="D8" s="24">
        <v>1</v>
      </c>
      <c r="E8" s="25">
        <f>+D8*B8</f>
        <v>6320</v>
      </c>
      <c r="F8" s="26">
        <v>6</v>
      </c>
      <c r="G8" s="27">
        <f>6320*6</f>
        <v>37920</v>
      </c>
      <c r="H8" s="28">
        <f>D8+F8</f>
        <v>7</v>
      </c>
      <c r="I8" s="238">
        <f>E8+G8</f>
        <v>44240</v>
      </c>
      <c r="J8" s="199"/>
      <c r="K8" s="202">
        <f>+J8*B8</f>
        <v>0</v>
      </c>
      <c r="L8" s="222">
        <v>9</v>
      </c>
      <c r="M8" s="202">
        <f>6320*9</f>
        <v>56880</v>
      </c>
      <c r="N8" s="193">
        <f>J8+L8</f>
        <v>9</v>
      </c>
      <c r="O8" s="194">
        <f>K8+M8</f>
        <v>56880</v>
      </c>
      <c r="P8" s="30"/>
      <c r="Q8" s="31">
        <f>+P8*B8</f>
        <v>0</v>
      </c>
      <c r="R8" s="32"/>
      <c r="S8" s="33"/>
      <c r="T8" s="34">
        <f>P8+R8</f>
        <v>0</v>
      </c>
      <c r="U8" s="35">
        <f>Q8+S8</f>
        <v>0</v>
      </c>
      <c r="V8" s="36"/>
      <c r="W8" s="37">
        <f t="shared" ref="W8:W19" si="0">+V8*B8</f>
        <v>0</v>
      </c>
      <c r="X8" s="38">
        <v>8</v>
      </c>
      <c r="Y8" s="39">
        <f>6320*7+1264</f>
        <v>45504</v>
      </c>
      <c r="Z8" s="40">
        <f>V8+X8</f>
        <v>8</v>
      </c>
      <c r="AA8" s="41">
        <f>Y8+W8</f>
        <v>45504</v>
      </c>
      <c r="AB8" s="152">
        <f>+D8+F8+P8+R8+V8+X8+L8+J8</f>
        <v>24</v>
      </c>
      <c r="AC8" s="220">
        <f>+E8+G8+Q8+S8+W8+Y8+K8+M8</f>
        <v>146624</v>
      </c>
      <c r="AD8" s="44"/>
      <c r="AE8" s="156">
        <v>5056</v>
      </c>
      <c r="AG8" s="227">
        <f>E8+W8+Q8+K8</f>
        <v>6320</v>
      </c>
      <c r="AI8" s="156">
        <f>G8+Y8+S8+M8</f>
        <v>140304</v>
      </c>
      <c r="AK8" s="139">
        <f>F8+R8+X8+L8</f>
        <v>23</v>
      </c>
      <c r="AM8" s="139">
        <f>+D8+P8+V8+J8</f>
        <v>1</v>
      </c>
    </row>
    <row r="9" spans="1:39" x14ac:dyDescent="0.25">
      <c r="B9" s="174">
        <v>6320</v>
      </c>
      <c r="C9" s="180" t="s">
        <v>14</v>
      </c>
      <c r="D9" s="47"/>
      <c r="E9" s="48">
        <f t="shared" ref="E9:E19" si="1">+D9*B9</f>
        <v>0</v>
      </c>
      <c r="F9" s="49"/>
      <c r="G9" s="50"/>
      <c r="H9" s="51">
        <f>D9+F9</f>
        <v>0</v>
      </c>
      <c r="I9" s="177">
        <f>G9+E9</f>
        <v>0</v>
      </c>
      <c r="J9" s="207"/>
      <c r="K9" s="241">
        <f t="shared" ref="K9:K19" si="2">+J9*B9</f>
        <v>0</v>
      </c>
      <c r="L9" s="223">
        <v>7</v>
      </c>
      <c r="M9" s="206">
        <f>6320*7</f>
        <v>44240</v>
      </c>
      <c r="N9" s="195">
        <f>J9+L9</f>
        <v>7</v>
      </c>
      <c r="O9" s="196">
        <f>M9+K9</f>
        <v>44240</v>
      </c>
      <c r="P9" s="53"/>
      <c r="Q9" s="54">
        <f t="shared" ref="Q9:Q19" si="3">+P9*B9</f>
        <v>0</v>
      </c>
      <c r="R9" s="55"/>
      <c r="S9" s="56"/>
      <c r="T9" s="57">
        <f>P9+R9</f>
        <v>0</v>
      </c>
      <c r="U9" s="58">
        <f>S9+Q9</f>
        <v>0</v>
      </c>
      <c r="V9" s="59"/>
      <c r="W9" s="60">
        <f t="shared" si="0"/>
        <v>0</v>
      </c>
      <c r="X9" s="61">
        <v>4</v>
      </c>
      <c r="Y9" s="62">
        <f>6320*3+2528</f>
        <v>21488</v>
      </c>
      <c r="Z9" s="63">
        <f>V9+X9</f>
        <v>4</v>
      </c>
      <c r="AA9" s="41">
        <f>Y9+W9</f>
        <v>21488</v>
      </c>
      <c r="AB9" s="152">
        <f t="shared" ref="AB9:AB22" si="4">+D9+F9+P9+R9+V9+X9+L9+J9</f>
        <v>11</v>
      </c>
      <c r="AC9" s="220">
        <f t="shared" ref="AC9:AC22" si="5">+E9+G9+Q9+S9+W9+Y9+K9+M9</f>
        <v>65728</v>
      </c>
      <c r="AD9" s="44"/>
      <c r="AE9" s="151">
        <v>3792</v>
      </c>
      <c r="AG9" s="218">
        <f t="shared" ref="AG9:AG22" si="6">E9+W9+Q9+K9</f>
        <v>0</v>
      </c>
      <c r="AI9" s="151">
        <f t="shared" ref="AI9:AI22" si="7">G9+Y9+S9+M9</f>
        <v>65728</v>
      </c>
      <c r="AK9" s="142">
        <f t="shared" ref="AK9:AK22" si="8">F9+R9+X9+L9</f>
        <v>11</v>
      </c>
      <c r="AM9" s="142">
        <f t="shared" ref="AM9:AM22" si="9">+D9+P9+V9+J9</f>
        <v>0</v>
      </c>
    </row>
    <row r="10" spans="1:39" x14ac:dyDescent="0.25">
      <c r="B10" s="174">
        <v>6320</v>
      </c>
      <c r="C10" s="264" t="s">
        <v>16</v>
      </c>
      <c r="D10" s="47"/>
      <c r="E10" s="48">
        <f t="shared" si="1"/>
        <v>0</v>
      </c>
      <c r="F10" s="49"/>
      <c r="G10" s="50"/>
      <c r="H10" s="51">
        <f t="shared" ref="H10:H22" si="10">D10+F10</f>
        <v>0</v>
      </c>
      <c r="I10" s="177">
        <f t="shared" ref="I10:I22" si="11">G10+E10</f>
        <v>0</v>
      </c>
      <c r="J10" s="207"/>
      <c r="K10" s="241">
        <f t="shared" si="2"/>
        <v>0</v>
      </c>
      <c r="L10" s="223"/>
      <c r="M10" s="206"/>
      <c r="N10" s="195">
        <f t="shared" ref="N10:N22" si="12">J10+L10</f>
        <v>0</v>
      </c>
      <c r="O10" s="196">
        <f t="shared" ref="O10:O22" si="13">M10+K10</f>
        <v>0</v>
      </c>
      <c r="P10" s="53"/>
      <c r="Q10" s="54">
        <f t="shared" si="3"/>
        <v>0</v>
      </c>
      <c r="R10" s="55"/>
      <c r="S10" s="56"/>
      <c r="T10" s="57">
        <f t="shared" ref="T10:T21" si="14">P10+R10</f>
        <v>0</v>
      </c>
      <c r="U10" s="58">
        <f t="shared" ref="U10:U21" si="15">S10+Q10</f>
        <v>0</v>
      </c>
      <c r="V10" s="59"/>
      <c r="W10" s="60">
        <f t="shared" si="0"/>
        <v>0</v>
      </c>
      <c r="X10" s="61"/>
      <c r="Y10" s="62"/>
      <c r="Z10" s="63">
        <f t="shared" ref="Z10:Z22" si="16">V10+X10</f>
        <v>0</v>
      </c>
      <c r="AA10" s="41">
        <f t="shared" ref="AA10:AA22" si="17">Y10+W10</f>
        <v>0</v>
      </c>
      <c r="AB10" s="42">
        <f t="shared" si="4"/>
        <v>0</v>
      </c>
      <c r="AC10" s="188">
        <f t="shared" si="5"/>
        <v>0</v>
      </c>
      <c r="AD10" s="44"/>
      <c r="AE10" s="64"/>
      <c r="AG10" s="218">
        <f t="shared" si="6"/>
        <v>0</v>
      </c>
      <c r="AI10" s="64">
        <f t="shared" si="7"/>
        <v>0</v>
      </c>
      <c r="AK10" s="142">
        <f t="shared" si="8"/>
        <v>0</v>
      </c>
      <c r="AM10" s="142">
        <f t="shared" si="9"/>
        <v>0</v>
      </c>
    </row>
    <row r="11" spans="1:39" x14ac:dyDescent="0.25">
      <c r="B11" s="174">
        <v>6320</v>
      </c>
      <c r="C11" s="180" t="s">
        <v>17</v>
      </c>
      <c r="D11" s="65"/>
      <c r="E11" s="48">
        <f t="shared" si="1"/>
        <v>0</v>
      </c>
      <c r="F11" s="49">
        <v>3</v>
      </c>
      <c r="G11" s="50">
        <f>6320*3</f>
        <v>18960</v>
      </c>
      <c r="H11" s="51">
        <f t="shared" si="10"/>
        <v>3</v>
      </c>
      <c r="I11" s="177">
        <f t="shared" si="11"/>
        <v>18960</v>
      </c>
      <c r="J11" s="207"/>
      <c r="K11" s="241">
        <f t="shared" si="2"/>
        <v>0</v>
      </c>
      <c r="L11" s="223">
        <v>8</v>
      </c>
      <c r="M11" s="206">
        <f>6320*8</f>
        <v>50560</v>
      </c>
      <c r="N11" s="195">
        <f t="shared" si="12"/>
        <v>8</v>
      </c>
      <c r="O11" s="196">
        <f t="shared" si="13"/>
        <v>50560</v>
      </c>
      <c r="P11" s="66"/>
      <c r="Q11" s="54">
        <f t="shared" si="3"/>
        <v>0</v>
      </c>
      <c r="R11" s="67"/>
      <c r="S11" s="56"/>
      <c r="T11" s="57">
        <f t="shared" si="14"/>
        <v>0</v>
      </c>
      <c r="U11" s="58">
        <f t="shared" si="15"/>
        <v>0</v>
      </c>
      <c r="V11" s="68"/>
      <c r="W11" s="60">
        <f t="shared" si="0"/>
        <v>0</v>
      </c>
      <c r="X11" s="69">
        <v>3</v>
      </c>
      <c r="Y11" s="62">
        <f>6320*3</f>
        <v>18960</v>
      </c>
      <c r="Z11" s="63">
        <f t="shared" si="16"/>
        <v>3</v>
      </c>
      <c r="AA11" s="41">
        <f t="shared" si="17"/>
        <v>18960</v>
      </c>
      <c r="AB11" s="152">
        <f t="shared" si="4"/>
        <v>14</v>
      </c>
      <c r="AC11" s="220">
        <f t="shared" si="5"/>
        <v>88480</v>
      </c>
      <c r="AD11" s="70"/>
      <c r="AE11" s="64"/>
      <c r="AG11" s="218">
        <f t="shared" si="6"/>
        <v>0</v>
      </c>
      <c r="AI11" s="151">
        <f t="shared" si="7"/>
        <v>88480</v>
      </c>
      <c r="AK11" s="142">
        <f t="shared" si="8"/>
        <v>14</v>
      </c>
      <c r="AM11" s="142">
        <f t="shared" si="9"/>
        <v>0</v>
      </c>
    </row>
    <row r="12" spans="1:39" x14ac:dyDescent="0.25">
      <c r="B12" s="174">
        <v>6320</v>
      </c>
      <c r="C12" s="180" t="s">
        <v>18</v>
      </c>
      <c r="D12" s="65"/>
      <c r="E12" s="48">
        <f t="shared" si="1"/>
        <v>0</v>
      </c>
      <c r="F12" s="49">
        <v>3</v>
      </c>
      <c r="G12" s="50">
        <f>6320*3</f>
        <v>18960</v>
      </c>
      <c r="H12" s="51">
        <f t="shared" si="10"/>
        <v>3</v>
      </c>
      <c r="I12" s="177">
        <f t="shared" si="11"/>
        <v>18960</v>
      </c>
      <c r="J12" s="207"/>
      <c r="K12" s="241">
        <f t="shared" si="2"/>
        <v>0</v>
      </c>
      <c r="L12" s="223">
        <v>10</v>
      </c>
      <c r="M12" s="206">
        <f>6320*9+2528</f>
        <v>59408</v>
      </c>
      <c r="N12" s="195">
        <f t="shared" si="12"/>
        <v>10</v>
      </c>
      <c r="O12" s="196">
        <f t="shared" si="13"/>
        <v>59408</v>
      </c>
      <c r="P12" s="66"/>
      <c r="Q12" s="54">
        <f t="shared" si="3"/>
        <v>0</v>
      </c>
      <c r="R12" s="67">
        <v>1</v>
      </c>
      <c r="S12" s="56">
        <v>6320</v>
      </c>
      <c r="T12" s="57">
        <f t="shared" si="14"/>
        <v>1</v>
      </c>
      <c r="U12" s="58">
        <f t="shared" si="15"/>
        <v>6320</v>
      </c>
      <c r="V12" s="68"/>
      <c r="W12" s="60">
        <f t="shared" si="0"/>
        <v>0</v>
      </c>
      <c r="X12" s="69">
        <v>4</v>
      </c>
      <c r="Y12" s="62">
        <f>6320*3+3160</f>
        <v>22120</v>
      </c>
      <c r="Z12" s="63">
        <f t="shared" si="16"/>
        <v>4</v>
      </c>
      <c r="AA12" s="41">
        <f t="shared" si="17"/>
        <v>22120</v>
      </c>
      <c r="AB12" s="152">
        <f t="shared" si="4"/>
        <v>18</v>
      </c>
      <c r="AC12" s="220">
        <f t="shared" si="5"/>
        <v>106808</v>
      </c>
      <c r="AD12" s="71"/>
      <c r="AE12" s="151">
        <f>3160+3792</f>
        <v>6952</v>
      </c>
      <c r="AG12" s="218">
        <f t="shared" si="6"/>
        <v>0</v>
      </c>
      <c r="AI12" s="151">
        <f t="shared" si="7"/>
        <v>106808</v>
      </c>
      <c r="AK12" s="142">
        <f t="shared" si="8"/>
        <v>18</v>
      </c>
      <c r="AM12" s="142">
        <f t="shared" si="9"/>
        <v>0</v>
      </c>
    </row>
    <row r="13" spans="1:39" x14ac:dyDescent="0.25">
      <c r="B13" s="174">
        <v>6320</v>
      </c>
      <c r="C13" s="264" t="s">
        <v>19</v>
      </c>
      <c r="D13" s="65"/>
      <c r="E13" s="48">
        <f t="shared" si="1"/>
        <v>0</v>
      </c>
      <c r="F13" s="49"/>
      <c r="G13" s="50"/>
      <c r="H13" s="51">
        <f t="shared" si="10"/>
        <v>0</v>
      </c>
      <c r="I13" s="177">
        <f t="shared" si="11"/>
        <v>0</v>
      </c>
      <c r="J13" s="207"/>
      <c r="K13" s="241">
        <f t="shared" si="2"/>
        <v>0</v>
      </c>
      <c r="L13" s="223"/>
      <c r="M13" s="206"/>
      <c r="N13" s="195">
        <f t="shared" si="12"/>
        <v>0</v>
      </c>
      <c r="O13" s="196">
        <f t="shared" si="13"/>
        <v>0</v>
      </c>
      <c r="P13" s="66"/>
      <c r="Q13" s="54">
        <f t="shared" si="3"/>
        <v>0</v>
      </c>
      <c r="R13" s="67"/>
      <c r="S13" s="56"/>
      <c r="T13" s="57">
        <f t="shared" si="14"/>
        <v>0</v>
      </c>
      <c r="U13" s="58">
        <f t="shared" si="15"/>
        <v>0</v>
      </c>
      <c r="V13" s="68"/>
      <c r="W13" s="60">
        <f t="shared" si="0"/>
        <v>0</v>
      </c>
      <c r="X13" s="69"/>
      <c r="Y13" s="62"/>
      <c r="Z13" s="63">
        <f t="shared" si="16"/>
        <v>0</v>
      </c>
      <c r="AA13" s="41">
        <f t="shared" si="17"/>
        <v>0</v>
      </c>
      <c r="AB13" s="42">
        <f t="shared" si="4"/>
        <v>0</v>
      </c>
      <c r="AC13" s="188">
        <f t="shared" si="5"/>
        <v>0</v>
      </c>
      <c r="AD13" s="70"/>
      <c r="AE13" s="64"/>
      <c r="AG13" s="218">
        <f t="shared" si="6"/>
        <v>0</v>
      </c>
      <c r="AI13" s="64">
        <f t="shared" si="7"/>
        <v>0</v>
      </c>
      <c r="AK13" s="142">
        <f t="shared" si="8"/>
        <v>0</v>
      </c>
      <c r="AM13" s="142">
        <f t="shared" si="9"/>
        <v>0</v>
      </c>
    </row>
    <row r="14" spans="1:39" x14ac:dyDescent="0.25">
      <c r="B14" s="174">
        <v>6320</v>
      </c>
      <c r="C14" s="264" t="s">
        <v>20</v>
      </c>
      <c r="D14" s="65"/>
      <c r="E14" s="48">
        <f t="shared" si="1"/>
        <v>0</v>
      </c>
      <c r="F14" s="49"/>
      <c r="G14" s="50"/>
      <c r="H14" s="51">
        <f t="shared" si="10"/>
        <v>0</v>
      </c>
      <c r="I14" s="177">
        <f t="shared" si="11"/>
        <v>0</v>
      </c>
      <c r="J14" s="207"/>
      <c r="K14" s="241">
        <f t="shared" si="2"/>
        <v>0</v>
      </c>
      <c r="L14" s="223"/>
      <c r="M14" s="206"/>
      <c r="N14" s="195">
        <f t="shared" si="12"/>
        <v>0</v>
      </c>
      <c r="O14" s="196">
        <f t="shared" si="13"/>
        <v>0</v>
      </c>
      <c r="P14" s="66"/>
      <c r="Q14" s="54">
        <f t="shared" si="3"/>
        <v>0</v>
      </c>
      <c r="R14" s="67"/>
      <c r="S14" s="56"/>
      <c r="T14" s="57">
        <f t="shared" si="14"/>
        <v>0</v>
      </c>
      <c r="U14" s="58">
        <f t="shared" si="15"/>
        <v>0</v>
      </c>
      <c r="V14" s="68"/>
      <c r="W14" s="60">
        <f t="shared" si="0"/>
        <v>0</v>
      </c>
      <c r="X14" s="69"/>
      <c r="Y14" s="62"/>
      <c r="Z14" s="63">
        <f t="shared" si="16"/>
        <v>0</v>
      </c>
      <c r="AA14" s="41">
        <f t="shared" si="17"/>
        <v>0</v>
      </c>
      <c r="AB14" s="42">
        <f t="shared" si="4"/>
        <v>0</v>
      </c>
      <c r="AC14" s="188">
        <f t="shared" si="5"/>
        <v>0</v>
      </c>
      <c r="AD14" s="70"/>
      <c r="AE14" s="64"/>
      <c r="AG14" s="218">
        <f t="shared" si="6"/>
        <v>0</v>
      </c>
      <c r="AI14" s="64">
        <f t="shared" si="7"/>
        <v>0</v>
      </c>
      <c r="AK14" s="142">
        <f t="shared" si="8"/>
        <v>0</v>
      </c>
      <c r="AM14" s="142">
        <f t="shared" si="9"/>
        <v>0</v>
      </c>
    </row>
    <row r="15" spans="1:39" x14ac:dyDescent="0.25">
      <c r="B15" s="174">
        <v>6320</v>
      </c>
      <c r="C15" s="180" t="s">
        <v>21</v>
      </c>
      <c r="D15" s="65"/>
      <c r="E15" s="48">
        <f t="shared" si="1"/>
        <v>0</v>
      </c>
      <c r="F15" s="49"/>
      <c r="G15" s="50"/>
      <c r="H15" s="51">
        <f t="shared" si="10"/>
        <v>0</v>
      </c>
      <c r="I15" s="177">
        <f t="shared" si="11"/>
        <v>0</v>
      </c>
      <c r="J15" s="207"/>
      <c r="K15" s="241">
        <f t="shared" si="2"/>
        <v>0</v>
      </c>
      <c r="L15" s="223">
        <v>1</v>
      </c>
      <c r="M15" s="206">
        <v>6320</v>
      </c>
      <c r="N15" s="195">
        <f t="shared" si="12"/>
        <v>1</v>
      </c>
      <c r="O15" s="196">
        <f t="shared" si="13"/>
        <v>6320</v>
      </c>
      <c r="P15" s="66"/>
      <c r="Q15" s="54">
        <f t="shared" si="3"/>
        <v>0</v>
      </c>
      <c r="R15" s="67"/>
      <c r="S15" s="56"/>
      <c r="T15" s="57">
        <f t="shared" si="14"/>
        <v>0</v>
      </c>
      <c r="U15" s="58">
        <f t="shared" si="15"/>
        <v>0</v>
      </c>
      <c r="V15" s="68"/>
      <c r="W15" s="60">
        <f t="shared" si="0"/>
        <v>0</v>
      </c>
      <c r="X15" s="69">
        <v>2</v>
      </c>
      <c r="Y15" s="62">
        <f>6320*2</f>
        <v>12640</v>
      </c>
      <c r="Z15" s="63">
        <f t="shared" si="16"/>
        <v>2</v>
      </c>
      <c r="AA15" s="41">
        <f t="shared" si="17"/>
        <v>12640</v>
      </c>
      <c r="AB15" s="152">
        <f t="shared" si="4"/>
        <v>3</v>
      </c>
      <c r="AC15" s="220">
        <f t="shared" si="5"/>
        <v>18960</v>
      </c>
      <c r="AD15" s="70"/>
      <c r="AE15" s="64"/>
      <c r="AG15" s="218">
        <f t="shared" si="6"/>
        <v>0</v>
      </c>
      <c r="AI15" s="151">
        <f t="shared" si="7"/>
        <v>18960</v>
      </c>
      <c r="AK15" s="142">
        <f t="shared" si="8"/>
        <v>3</v>
      </c>
      <c r="AM15" s="142">
        <f t="shared" si="9"/>
        <v>0</v>
      </c>
    </row>
    <row r="16" spans="1:39" x14ac:dyDescent="0.25">
      <c r="B16" s="174" t="s">
        <v>26</v>
      </c>
      <c r="C16" s="264" t="s">
        <v>33</v>
      </c>
      <c r="D16" s="65"/>
      <c r="E16" s="48">
        <v>0</v>
      </c>
      <c r="F16" s="49"/>
      <c r="G16" s="50"/>
      <c r="H16" s="51">
        <f t="shared" si="10"/>
        <v>0</v>
      </c>
      <c r="I16" s="177">
        <f t="shared" si="11"/>
        <v>0</v>
      </c>
      <c r="J16" s="207"/>
      <c r="K16" s="241">
        <v>0</v>
      </c>
      <c r="L16" s="223"/>
      <c r="M16" s="206"/>
      <c r="N16" s="195">
        <f t="shared" si="12"/>
        <v>0</v>
      </c>
      <c r="O16" s="196">
        <f t="shared" si="13"/>
        <v>0</v>
      </c>
      <c r="P16" s="66"/>
      <c r="Q16" s="54">
        <v>0</v>
      </c>
      <c r="R16" s="67"/>
      <c r="S16" s="56"/>
      <c r="T16" s="57">
        <f t="shared" si="14"/>
        <v>0</v>
      </c>
      <c r="U16" s="58">
        <v>0</v>
      </c>
      <c r="V16" s="68"/>
      <c r="W16" s="60">
        <v>0</v>
      </c>
      <c r="X16" s="69"/>
      <c r="Y16" s="62"/>
      <c r="Z16" s="63">
        <f>+X16+V16</f>
        <v>0</v>
      </c>
      <c r="AA16" s="41">
        <f>+Y16+W16</f>
        <v>0</v>
      </c>
      <c r="AB16" s="42">
        <f t="shared" si="4"/>
        <v>0</v>
      </c>
      <c r="AC16" s="188">
        <f t="shared" si="5"/>
        <v>0</v>
      </c>
      <c r="AD16" s="70"/>
      <c r="AE16" s="64"/>
      <c r="AG16" s="218">
        <f t="shared" si="6"/>
        <v>0</v>
      </c>
      <c r="AI16" s="64">
        <f t="shared" si="7"/>
        <v>0</v>
      </c>
      <c r="AK16" s="142">
        <f t="shared" si="8"/>
        <v>0</v>
      </c>
      <c r="AM16" s="142">
        <f t="shared" si="9"/>
        <v>0</v>
      </c>
    </row>
    <row r="17" spans="2:41" x14ac:dyDescent="0.25">
      <c r="B17" s="175">
        <v>14010</v>
      </c>
      <c r="C17" s="264" t="s">
        <v>23</v>
      </c>
      <c r="D17" s="65"/>
      <c r="E17" s="48">
        <f t="shared" si="1"/>
        <v>0</v>
      </c>
      <c r="F17" s="49"/>
      <c r="G17" s="50"/>
      <c r="H17" s="51">
        <f t="shared" si="10"/>
        <v>0</v>
      </c>
      <c r="I17" s="177">
        <f t="shared" si="11"/>
        <v>0</v>
      </c>
      <c r="J17" s="207"/>
      <c r="K17" s="241">
        <f t="shared" si="2"/>
        <v>0</v>
      </c>
      <c r="L17" s="223"/>
      <c r="M17" s="206"/>
      <c r="N17" s="195">
        <f t="shared" si="12"/>
        <v>0</v>
      </c>
      <c r="O17" s="196">
        <f t="shared" si="13"/>
        <v>0</v>
      </c>
      <c r="P17" s="66"/>
      <c r="Q17" s="54">
        <f t="shared" si="3"/>
        <v>0</v>
      </c>
      <c r="R17" s="67"/>
      <c r="S17" s="56"/>
      <c r="T17" s="57">
        <f t="shared" si="14"/>
        <v>0</v>
      </c>
      <c r="U17" s="58">
        <f t="shared" si="15"/>
        <v>0</v>
      </c>
      <c r="V17" s="68"/>
      <c r="W17" s="60">
        <f t="shared" si="0"/>
        <v>0</v>
      </c>
      <c r="X17" s="69"/>
      <c r="Y17" s="62"/>
      <c r="Z17" s="63">
        <f t="shared" si="16"/>
        <v>0</v>
      </c>
      <c r="AA17" s="41">
        <f t="shared" si="17"/>
        <v>0</v>
      </c>
      <c r="AB17" s="42">
        <f t="shared" si="4"/>
        <v>0</v>
      </c>
      <c r="AC17" s="188">
        <f t="shared" si="5"/>
        <v>0</v>
      </c>
      <c r="AD17" s="70"/>
      <c r="AE17" s="64"/>
      <c r="AG17" s="218">
        <f t="shared" si="6"/>
        <v>0</v>
      </c>
      <c r="AI17" s="64">
        <f t="shared" si="7"/>
        <v>0</v>
      </c>
      <c r="AK17" s="142">
        <f t="shared" si="8"/>
        <v>0</v>
      </c>
      <c r="AM17" s="142">
        <f t="shared" si="9"/>
        <v>0</v>
      </c>
    </row>
    <row r="18" spans="2:41" x14ac:dyDescent="0.25">
      <c r="B18" s="174">
        <v>11870</v>
      </c>
      <c r="C18" s="180" t="s">
        <v>24</v>
      </c>
      <c r="D18" s="65"/>
      <c r="E18" s="48">
        <f t="shared" si="1"/>
        <v>0</v>
      </c>
      <c r="F18" s="49"/>
      <c r="G18" s="50"/>
      <c r="H18" s="51">
        <f t="shared" si="10"/>
        <v>0</v>
      </c>
      <c r="I18" s="177">
        <f t="shared" si="11"/>
        <v>0</v>
      </c>
      <c r="J18" s="207"/>
      <c r="K18" s="241">
        <f t="shared" si="2"/>
        <v>0</v>
      </c>
      <c r="L18" s="223"/>
      <c r="M18" s="206"/>
      <c r="N18" s="195">
        <f t="shared" si="12"/>
        <v>0</v>
      </c>
      <c r="O18" s="196">
        <f t="shared" si="13"/>
        <v>0</v>
      </c>
      <c r="P18" s="66"/>
      <c r="Q18" s="54">
        <f t="shared" si="3"/>
        <v>0</v>
      </c>
      <c r="R18" s="67"/>
      <c r="S18" s="56"/>
      <c r="T18" s="57">
        <f t="shared" si="14"/>
        <v>0</v>
      </c>
      <c r="U18" s="58">
        <f t="shared" si="15"/>
        <v>0</v>
      </c>
      <c r="V18" s="68"/>
      <c r="W18" s="60">
        <f t="shared" si="0"/>
        <v>0</v>
      </c>
      <c r="X18" s="69">
        <v>1</v>
      </c>
      <c r="Y18" s="62">
        <v>11870</v>
      </c>
      <c r="Z18" s="63">
        <f t="shared" si="16"/>
        <v>1</v>
      </c>
      <c r="AA18" s="41">
        <f t="shared" si="17"/>
        <v>11870</v>
      </c>
      <c r="AB18" s="152">
        <f t="shared" si="4"/>
        <v>1</v>
      </c>
      <c r="AC18" s="220">
        <f t="shared" si="5"/>
        <v>11870</v>
      </c>
      <c r="AD18" s="70"/>
      <c r="AE18" s="64"/>
      <c r="AG18" s="218">
        <f t="shared" si="6"/>
        <v>0</v>
      </c>
      <c r="AI18" s="151">
        <f t="shared" si="7"/>
        <v>11870</v>
      </c>
      <c r="AK18" s="142">
        <f t="shared" si="8"/>
        <v>1</v>
      </c>
      <c r="AM18" s="142">
        <f t="shared" si="9"/>
        <v>0</v>
      </c>
    </row>
    <row r="19" spans="2:41" x14ac:dyDescent="0.25">
      <c r="B19" s="174">
        <v>6710</v>
      </c>
      <c r="C19" s="180" t="s">
        <v>0</v>
      </c>
      <c r="D19" s="65">
        <v>1</v>
      </c>
      <c r="E19" s="48">
        <f t="shared" si="1"/>
        <v>6710</v>
      </c>
      <c r="F19" s="72">
        <v>2</v>
      </c>
      <c r="G19" s="50">
        <f>6710*2</f>
        <v>13420</v>
      </c>
      <c r="H19" s="51">
        <f t="shared" si="10"/>
        <v>3</v>
      </c>
      <c r="I19" s="177">
        <f t="shared" si="11"/>
        <v>20130</v>
      </c>
      <c r="J19" s="207"/>
      <c r="K19" s="241">
        <f t="shared" si="2"/>
        <v>0</v>
      </c>
      <c r="L19" s="224">
        <v>2</v>
      </c>
      <c r="M19" s="206">
        <f>6710*2</f>
        <v>13420</v>
      </c>
      <c r="N19" s="195">
        <f t="shared" si="12"/>
        <v>2</v>
      </c>
      <c r="O19" s="196">
        <f t="shared" si="13"/>
        <v>13420</v>
      </c>
      <c r="P19" s="66"/>
      <c r="Q19" s="54">
        <f t="shared" si="3"/>
        <v>0</v>
      </c>
      <c r="R19" s="73"/>
      <c r="S19" s="56"/>
      <c r="T19" s="57">
        <f t="shared" si="14"/>
        <v>0</v>
      </c>
      <c r="U19" s="58">
        <f t="shared" si="15"/>
        <v>0</v>
      </c>
      <c r="V19" s="68"/>
      <c r="W19" s="60">
        <f t="shared" si="0"/>
        <v>0</v>
      </c>
      <c r="X19" s="74">
        <v>1</v>
      </c>
      <c r="Y19" s="62">
        <v>6710</v>
      </c>
      <c r="Z19" s="63">
        <f t="shared" si="16"/>
        <v>1</v>
      </c>
      <c r="AA19" s="41">
        <f t="shared" si="17"/>
        <v>6710</v>
      </c>
      <c r="AB19" s="152">
        <f t="shared" si="4"/>
        <v>6</v>
      </c>
      <c r="AC19" s="220">
        <f t="shared" si="5"/>
        <v>40260</v>
      </c>
      <c r="AD19" s="70"/>
      <c r="AE19" s="64"/>
      <c r="AF19" s="1" t="s">
        <v>25</v>
      </c>
      <c r="AG19" s="221">
        <f t="shared" si="6"/>
        <v>6710</v>
      </c>
      <c r="AI19" s="151">
        <f t="shared" si="7"/>
        <v>33550</v>
      </c>
      <c r="AK19" s="142">
        <f t="shared" si="8"/>
        <v>5</v>
      </c>
      <c r="AM19" s="142">
        <f t="shared" si="9"/>
        <v>1</v>
      </c>
    </row>
    <row r="20" spans="2:41" x14ac:dyDescent="0.25">
      <c r="B20" s="174" t="s">
        <v>26</v>
      </c>
      <c r="C20" s="264" t="s">
        <v>0</v>
      </c>
      <c r="D20" s="65"/>
      <c r="E20" s="48">
        <v>0</v>
      </c>
      <c r="F20" s="49"/>
      <c r="G20" s="50"/>
      <c r="H20" s="51">
        <f t="shared" si="10"/>
        <v>0</v>
      </c>
      <c r="I20" s="177">
        <f t="shared" si="11"/>
        <v>0</v>
      </c>
      <c r="J20" s="207"/>
      <c r="K20" s="241">
        <v>0</v>
      </c>
      <c r="L20" s="223"/>
      <c r="M20" s="206"/>
      <c r="N20" s="195">
        <f t="shared" si="12"/>
        <v>0</v>
      </c>
      <c r="O20" s="196">
        <f t="shared" si="13"/>
        <v>0</v>
      </c>
      <c r="P20" s="66"/>
      <c r="Q20" s="54">
        <v>0</v>
      </c>
      <c r="R20" s="67"/>
      <c r="S20" s="56"/>
      <c r="T20" s="57">
        <f t="shared" si="14"/>
        <v>0</v>
      </c>
      <c r="U20" s="58">
        <f t="shared" si="15"/>
        <v>0</v>
      </c>
      <c r="V20" s="68"/>
      <c r="W20" s="60">
        <v>0</v>
      </c>
      <c r="X20" s="69"/>
      <c r="Y20" s="62"/>
      <c r="Z20" s="63">
        <f t="shared" si="16"/>
        <v>0</v>
      </c>
      <c r="AA20" s="41">
        <f t="shared" si="17"/>
        <v>0</v>
      </c>
      <c r="AB20" s="42">
        <f t="shared" si="4"/>
        <v>0</v>
      </c>
      <c r="AC20" s="188">
        <f t="shared" si="5"/>
        <v>0</v>
      </c>
      <c r="AD20" s="70"/>
      <c r="AE20" s="64"/>
      <c r="AG20" s="218">
        <f t="shared" si="6"/>
        <v>0</v>
      </c>
      <c r="AI20" s="64">
        <f t="shared" si="7"/>
        <v>0</v>
      </c>
      <c r="AK20" s="142">
        <f t="shared" si="8"/>
        <v>0</v>
      </c>
      <c r="AM20" s="142">
        <f t="shared" si="9"/>
        <v>0</v>
      </c>
    </row>
    <row r="21" spans="2:41" x14ac:dyDescent="0.25">
      <c r="B21" s="174" t="s">
        <v>26</v>
      </c>
      <c r="C21" s="180" t="s">
        <v>28</v>
      </c>
      <c r="D21" s="65"/>
      <c r="E21" s="75">
        <v>0</v>
      </c>
      <c r="F21" s="49">
        <v>6</v>
      </c>
      <c r="G21" s="50">
        <f>37790+24700*2+30250+4940+38450</f>
        <v>160830</v>
      </c>
      <c r="H21" s="51">
        <f t="shared" si="10"/>
        <v>6</v>
      </c>
      <c r="I21" s="177">
        <f t="shared" si="11"/>
        <v>160830</v>
      </c>
      <c r="J21" s="207"/>
      <c r="K21" s="241">
        <v>0</v>
      </c>
      <c r="L21" s="223">
        <v>2</v>
      </c>
      <c r="M21" s="206">
        <f>17160+30910</f>
        <v>48070</v>
      </c>
      <c r="N21" s="195">
        <f t="shared" si="12"/>
        <v>2</v>
      </c>
      <c r="O21" s="196">
        <f t="shared" si="13"/>
        <v>48070</v>
      </c>
      <c r="P21" s="66"/>
      <c r="Q21" s="54">
        <v>0</v>
      </c>
      <c r="R21" s="67"/>
      <c r="S21" s="56"/>
      <c r="T21" s="57">
        <f t="shared" si="14"/>
        <v>0</v>
      </c>
      <c r="U21" s="58">
        <f t="shared" si="15"/>
        <v>0</v>
      </c>
      <c r="V21" s="68"/>
      <c r="W21" s="60">
        <v>0</v>
      </c>
      <c r="X21" s="69">
        <v>6</v>
      </c>
      <c r="Y21" s="62">
        <f>24700+37790+13090+13750+17160*2</f>
        <v>123650</v>
      </c>
      <c r="Z21" s="63">
        <f t="shared" si="16"/>
        <v>6</v>
      </c>
      <c r="AA21" s="41">
        <f t="shared" si="17"/>
        <v>123650</v>
      </c>
      <c r="AB21" s="152">
        <f t="shared" si="4"/>
        <v>14</v>
      </c>
      <c r="AC21" s="220">
        <f t="shared" si="5"/>
        <v>332550</v>
      </c>
      <c r="AD21" s="70"/>
      <c r="AE21" s="151">
        <v>19760</v>
      </c>
      <c r="AG21" s="218">
        <f t="shared" si="6"/>
        <v>0</v>
      </c>
      <c r="AI21" s="151">
        <f t="shared" si="7"/>
        <v>332550</v>
      </c>
      <c r="AK21" s="142">
        <f t="shared" si="8"/>
        <v>14</v>
      </c>
      <c r="AM21" s="142">
        <f t="shared" si="9"/>
        <v>0</v>
      </c>
    </row>
    <row r="22" spans="2:41" ht="15.75" thickBot="1" x14ac:dyDescent="0.3">
      <c r="B22" s="176" t="s">
        <v>26</v>
      </c>
      <c r="C22" s="311" t="s">
        <v>29</v>
      </c>
      <c r="D22" s="77"/>
      <c r="E22" s="78">
        <v>0</v>
      </c>
      <c r="F22" s="79">
        <v>2</v>
      </c>
      <c r="G22" s="80">
        <f>12800+6430</f>
        <v>19230</v>
      </c>
      <c r="H22" s="81">
        <f t="shared" si="10"/>
        <v>2</v>
      </c>
      <c r="I22" s="239">
        <f t="shared" si="11"/>
        <v>19230</v>
      </c>
      <c r="J22" s="242"/>
      <c r="K22" s="243">
        <v>0</v>
      </c>
      <c r="L22" s="225">
        <v>7</v>
      </c>
      <c r="M22" s="213">
        <f>20530+19230+21250+12380+27840+14980+13180</f>
        <v>129390</v>
      </c>
      <c r="N22" s="197">
        <f t="shared" si="12"/>
        <v>7</v>
      </c>
      <c r="O22" s="198">
        <f t="shared" si="13"/>
        <v>129390</v>
      </c>
      <c r="P22" s="83"/>
      <c r="Q22" s="84">
        <v>0</v>
      </c>
      <c r="R22" s="85"/>
      <c r="S22" s="86"/>
      <c r="T22" s="87">
        <f>+P22+R22</f>
        <v>0</v>
      </c>
      <c r="U22" s="88">
        <f>+S22+Q22</f>
        <v>0</v>
      </c>
      <c r="V22" s="89"/>
      <c r="W22" s="60">
        <v>0</v>
      </c>
      <c r="X22" s="90">
        <v>1</v>
      </c>
      <c r="Y22" s="91">
        <v>14980</v>
      </c>
      <c r="Z22" s="92">
        <f t="shared" si="16"/>
        <v>1</v>
      </c>
      <c r="AA22" s="93">
        <f t="shared" si="17"/>
        <v>14980</v>
      </c>
      <c r="AB22" s="152">
        <f t="shared" si="4"/>
        <v>10</v>
      </c>
      <c r="AC22" s="220">
        <f t="shared" si="5"/>
        <v>163600</v>
      </c>
      <c r="AD22" s="70"/>
      <c r="AE22" s="94"/>
      <c r="AG22" s="219">
        <f t="shared" si="6"/>
        <v>0</v>
      </c>
      <c r="AI22" s="154">
        <f t="shared" si="7"/>
        <v>163600</v>
      </c>
      <c r="AK22" s="144">
        <f t="shared" si="8"/>
        <v>10</v>
      </c>
      <c r="AM22" s="144">
        <f t="shared" si="9"/>
        <v>0</v>
      </c>
    </row>
    <row r="23" spans="2:41" ht="15.75" thickBot="1" x14ac:dyDescent="0.3">
      <c r="D23" s="95">
        <f t="shared" ref="D23:I23" si="18">SUM(D8:D22)</f>
        <v>2</v>
      </c>
      <c r="E23" s="96">
        <f t="shared" si="18"/>
        <v>13030</v>
      </c>
      <c r="F23" s="95">
        <f t="shared" si="18"/>
        <v>22</v>
      </c>
      <c r="G23" s="97">
        <f t="shared" si="18"/>
        <v>269320</v>
      </c>
      <c r="H23" s="279">
        <f t="shared" si="18"/>
        <v>24</v>
      </c>
      <c r="I23" s="280">
        <f t="shared" si="18"/>
        <v>282350</v>
      </c>
      <c r="J23" s="240">
        <f t="shared" ref="J23:O23" si="19">SUM(J8:J22)</f>
        <v>0</v>
      </c>
      <c r="K23" s="226">
        <f t="shared" si="19"/>
        <v>0</v>
      </c>
      <c r="L23" s="214">
        <f t="shared" si="19"/>
        <v>46</v>
      </c>
      <c r="M23" s="216">
        <f t="shared" si="19"/>
        <v>408288</v>
      </c>
      <c r="N23" s="283">
        <f t="shared" si="19"/>
        <v>46</v>
      </c>
      <c r="O23" s="284">
        <f t="shared" si="19"/>
        <v>408288</v>
      </c>
      <c r="P23" s="100">
        <f t="shared" ref="P23:AA23" si="20">SUM(P8:P22)</f>
        <v>0</v>
      </c>
      <c r="Q23" s="101">
        <f t="shared" si="20"/>
        <v>0</v>
      </c>
      <c r="R23" s="100">
        <f t="shared" si="20"/>
        <v>1</v>
      </c>
      <c r="S23" s="102">
        <f t="shared" si="20"/>
        <v>6320</v>
      </c>
      <c r="T23" s="103">
        <f t="shared" si="20"/>
        <v>1</v>
      </c>
      <c r="U23" s="277">
        <f t="shared" si="20"/>
        <v>6320</v>
      </c>
      <c r="V23" s="105">
        <f t="shared" si="20"/>
        <v>0</v>
      </c>
      <c r="W23" s="106">
        <f t="shared" si="20"/>
        <v>0</v>
      </c>
      <c r="X23" s="105">
        <f t="shared" si="20"/>
        <v>30</v>
      </c>
      <c r="Y23" s="107">
        <f t="shared" si="20"/>
        <v>277922</v>
      </c>
      <c r="Z23" s="108">
        <f t="shared" si="20"/>
        <v>30</v>
      </c>
      <c r="AA23" s="104">
        <f t="shared" si="20"/>
        <v>277922</v>
      </c>
      <c r="AB23" s="109" t="s">
        <v>9</v>
      </c>
      <c r="AC23" s="43">
        <f>SUM(AC8:AC22)</f>
        <v>974880</v>
      </c>
      <c r="AD23" s="70"/>
      <c r="AE23" s="1">
        <f>SUM(AE8:AE22)</f>
        <v>35560</v>
      </c>
      <c r="AI23" s="110"/>
      <c r="AK23" s="1">
        <f>SUM(AK8:AK22)</f>
        <v>99</v>
      </c>
      <c r="AM23" s="1">
        <f>SUM(AM8:AM22)</f>
        <v>2</v>
      </c>
      <c r="AO23" s="1">
        <f>+AK23+AM23</f>
        <v>101</v>
      </c>
    </row>
    <row r="24" spans="2:41" x14ac:dyDescent="0.25">
      <c r="G24" s="111"/>
      <c r="H24" s="111"/>
      <c r="I24" s="111"/>
      <c r="M24" s="111"/>
      <c r="N24" s="111"/>
      <c r="O24" s="111"/>
      <c r="P24" s="111"/>
      <c r="Q24" s="111"/>
      <c r="S24" s="111"/>
      <c r="T24" s="111"/>
      <c r="U24" s="111"/>
      <c r="V24" s="288">
        <f>X23+F23+R23+L23</f>
        <v>99</v>
      </c>
      <c r="W24" s="113">
        <f>G23+Y23+S23+M23</f>
        <v>961850</v>
      </c>
      <c r="X24" s="111"/>
      <c r="Y24" s="111"/>
      <c r="Z24" s="111"/>
      <c r="AA24" s="111"/>
      <c r="AB24" s="2"/>
      <c r="AC24" s="70">
        <f>AA23+U23+I23+O23</f>
        <v>974880</v>
      </c>
      <c r="AD24" s="2"/>
    </row>
    <row r="25" spans="2:41" x14ac:dyDescent="0.25">
      <c r="D25" s="114" t="s">
        <v>30</v>
      </c>
      <c r="E25" s="114"/>
      <c r="G25" s="114"/>
      <c r="H25" s="114"/>
      <c r="I25" s="114"/>
      <c r="J25" s="114" t="s">
        <v>30</v>
      </c>
      <c r="K25" s="114"/>
      <c r="M25" s="114"/>
      <c r="N25" s="114"/>
      <c r="O25" s="114"/>
      <c r="P25" s="114"/>
      <c r="Q25" s="114"/>
      <c r="R25" s="114"/>
      <c r="S25" s="114"/>
      <c r="T25" s="114"/>
      <c r="U25" s="114"/>
      <c r="AA25" s="2"/>
      <c r="AB25" s="2"/>
      <c r="AC25" s="2"/>
      <c r="AD25" s="2"/>
    </row>
    <row r="26" spans="2:41" x14ac:dyDescent="0.25">
      <c r="D26" s="114"/>
      <c r="E26" s="114"/>
      <c r="J26" s="114"/>
      <c r="K26" s="114"/>
      <c r="P26" s="1"/>
      <c r="Q26" s="1"/>
      <c r="R26" s="1"/>
      <c r="S26" s="1"/>
      <c r="T26" s="1"/>
      <c r="U26" s="1"/>
      <c r="AA26" s="2"/>
      <c r="AB26" s="2"/>
      <c r="AC26" s="2"/>
      <c r="AD26" s="2"/>
    </row>
    <row r="27" spans="2:41" x14ac:dyDescent="0.25">
      <c r="C27" s="115">
        <v>20000</v>
      </c>
      <c r="D27" s="115"/>
      <c r="E27" s="115"/>
      <c r="F27" s="116"/>
      <c r="G27" s="117"/>
      <c r="H27" s="118"/>
      <c r="I27" s="119">
        <v>80000</v>
      </c>
      <c r="J27" s="115"/>
      <c r="K27" s="115"/>
      <c r="L27" s="116"/>
      <c r="M27" s="117"/>
      <c r="N27" s="118"/>
      <c r="O27" s="119">
        <v>60000</v>
      </c>
      <c r="P27" s="119"/>
      <c r="Q27" s="119"/>
      <c r="R27" s="119"/>
      <c r="S27" s="119"/>
      <c r="T27" s="119"/>
      <c r="U27" s="119">
        <v>0</v>
      </c>
      <c r="V27" s="119"/>
      <c r="W27" s="119"/>
      <c r="X27" s="120"/>
      <c r="Y27" s="121"/>
      <c r="Z27" s="120"/>
      <c r="AA27" s="119">
        <v>20000</v>
      </c>
      <c r="AB27" s="122"/>
      <c r="AC27" s="122"/>
      <c r="AD27" s="2"/>
      <c r="AE27" s="2"/>
      <c r="AF27" s="2"/>
    </row>
    <row r="28" spans="2:41" x14ac:dyDescent="0.25">
      <c r="C28" s="115">
        <v>10000</v>
      </c>
      <c r="D28" s="115"/>
      <c r="E28" s="115"/>
      <c r="F28" s="116"/>
      <c r="G28" s="117"/>
      <c r="H28" s="118"/>
      <c r="I28" s="119">
        <v>150000</v>
      </c>
      <c r="J28" s="115"/>
      <c r="K28" s="115"/>
      <c r="L28" s="116"/>
      <c r="M28" s="117"/>
      <c r="N28" s="118"/>
      <c r="O28" s="119">
        <v>150000</v>
      </c>
      <c r="P28" s="119"/>
      <c r="Q28" s="119"/>
      <c r="R28" s="119"/>
      <c r="S28" s="119"/>
      <c r="T28" s="119"/>
      <c r="U28" s="119">
        <v>0</v>
      </c>
      <c r="V28" s="119"/>
      <c r="W28" s="119"/>
      <c r="X28" s="120"/>
      <c r="Y28" s="122"/>
      <c r="Z28" s="120"/>
      <c r="AA28" s="119">
        <v>120000</v>
      </c>
      <c r="AB28" s="122"/>
      <c r="AC28" s="122"/>
      <c r="AD28" s="2"/>
      <c r="AE28" s="2"/>
      <c r="AF28" s="2"/>
    </row>
    <row r="29" spans="2:41" x14ac:dyDescent="0.25">
      <c r="C29" s="115">
        <v>5000</v>
      </c>
      <c r="D29" s="115"/>
      <c r="E29" s="115"/>
      <c r="F29" s="116"/>
      <c r="G29" s="117"/>
      <c r="H29" s="118"/>
      <c r="I29" s="119">
        <v>50000</v>
      </c>
      <c r="J29" s="115"/>
      <c r="K29" s="115"/>
      <c r="L29" s="116"/>
      <c r="M29" s="117"/>
      <c r="N29" s="118"/>
      <c r="O29" s="119">
        <v>50000</v>
      </c>
      <c r="P29" s="119"/>
      <c r="Q29" s="119"/>
      <c r="R29" s="119"/>
      <c r="S29" s="119"/>
      <c r="T29" s="119"/>
      <c r="U29" s="119">
        <v>5000</v>
      </c>
      <c r="V29" s="119"/>
      <c r="W29" s="119"/>
      <c r="X29" s="120"/>
      <c r="Y29" s="121"/>
      <c r="Z29" s="120"/>
      <c r="AA29" s="119">
        <v>70000</v>
      </c>
      <c r="AB29" s="122"/>
      <c r="AC29" s="122"/>
      <c r="AD29" s="2"/>
      <c r="AE29" s="2"/>
      <c r="AF29" s="2"/>
    </row>
    <row r="30" spans="2:41" x14ac:dyDescent="0.25">
      <c r="C30" s="115">
        <v>2000</v>
      </c>
      <c r="D30" s="115"/>
      <c r="E30" s="115"/>
      <c r="F30" s="116"/>
      <c r="G30" s="117"/>
      <c r="H30" s="118"/>
      <c r="I30" s="119">
        <v>0</v>
      </c>
      <c r="J30" s="115"/>
      <c r="K30" s="115"/>
      <c r="L30" s="116"/>
      <c r="M30" s="117"/>
      <c r="N30" s="118"/>
      <c r="O30" s="119">
        <v>0</v>
      </c>
      <c r="P30" s="119"/>
      <c r="Q30" s="119"/>
      <c r="R30" s="119"/>
      <c r="S30" s="119"/>
      <c r="T30" s="119"/>
      <c r="U30" s="119">
        <v>0</v>
      </c>
      <c r="V30" s="119"/>
      <c r="W30" s="119"/>
      <c r="X30" s="120"/>
      <c r="Y30" s="121"/>
      <c r="Z30" s="120"/>
      <c r="AA30" s="119">
        <v>2000</v>
      </c>
      <c r="AB30" s="122"/>
      <c r="AC30" s="122"/>
      <c r="AD30" s="123"/>
    </row>
    <row r="31" spans="2:41" x14ac:dyDescent="0.25">
      <c r="C31" s="115">
        <v>1000</v>
      </c>
      <c r="D31" s="115"/>
      <c r="E31" s="115"/>
      <c r="F31" s="116"/>
      <c r="G31" s="117"/>
      <c r="H31" s="118"/>
      <c r="I31" s="124">
        <v>2000</v>
      </c>
      <c r="J31" s="115"/>
      <c r="K31" s="115"/>
      <c r="L31" s="116"/>
      <c r="M31" s="117"/>
      <c r="N31" s="118"/>
      <c r="O31" s="124">
        <v>1000</v>
      </c>
      <c r="P31" s="124"/>
      <c r="Q31" s="124"/>
      <c r="R31" s="124"/>
      <c r="S31" s="124"/>
      <c r="T31" s="124"/>
      <c r="U31" s="124">
        <v>1000</v>
      </c>
      <c r="V31" s="124"/>
      <c r="W31" s="124"/>
      <c r="X31" s="120"/>
      <c r="Y31" s="121"/>
      <c r="Z31" s="120"/>
      <c r="AA31" s="124">
        <v>0</v>
      </c>
      <c r="AB31" s="122"/>
      <c r="AC31" s="122"/>
      <c r="AD31" s="2"/>
    </row>
    <row r="32" spans="2:41" x14ac:dyDescent="0.25">
      <c r="C32" s="115">
        <v>500</v>
      </c>
      <c r="D32" s="115"/>
      <c r="E32" s="115"/>
      <c r="F32" s="116"/>
      <c r="G32" s="117"/>
      <c r="H32" s="118"/>
      <c r="I32" s="119">
        <v>0</v>
      </c>
      <c r="J32" s="115"/>
      <c r="K32" s="115"/>
      <c r="L32" s="116"/>
      <c r="M32" s="117"/>
      <c r="N32" s="118"/>
      <c r="O32" s="119">
        <v>500</v>
      </c>
      <c r="P32" s="119"/>
      <c r="Q32" s="119"/>
      <c r="R32" s="119"/>
      <c r="S32" s="119"/>
      <c r="T32" s="119"/>
      <c r="U32" s="119">
        <v>0</v>
      </c>
      <c r="V32" s="119"/>
      <c r="W32" s="119"/>
      <c r="X32" s="120"/>
      <c r="Y32" s="121"/>
      <c r="Z32" s="120"/>
      <c r="AA32" s="119">
        <v>0</v>
      </c>
      <c r="AB32" s="121"/>
      <c r="AC32" s="121"/>
      <c r="AD32" s="2"/>
    </row>
    <row r="33" spans="2:35" x14ac:dyDescent="0.25">
      <c r="C33" s="115">
        <v>100</v>
      </c>
      <c r="D33" s="115"/>
      <c r="E33" s="115"/>
      <c r="F33" s="116"/>
      <c r="G33" s="117"/>
      <c r="H33" s="118"/>
      <c r="I33" s="119">
        <v>300</v>
      </c>
      <c r="J33" s="115"/>
      <c r="K33" s="115"/>
      <c r="L33" s="116"/>
      <c r="M33" s="117"/>
      <c r="N33" s="118"/>
      <c r="O33" s="119">
        <v>100</v>
      </c>
      <c r="P33" s="119"/>
      <c r="Q33" s="119"/>
      <c r="R33" s="119"/>
      <c r="S33" s="119"/>
      <c r="T33" s="119"/>
      <c r="U33" s="119">
        <v>300</v>
      </c>
      <c r="V33" s="119"/>
      <c r="W33" s="119"/>
      <c r="X33" s="120"/>
      <c r="Y33" s="121"/>
      <c r="Z33" s="120"/>
      <c r="AA33" s="119">
        <v>100</v>
      </c>
      <c r="AB33" s="121"/>
      <c r="AC33" s="121"/>
      <c r="AD33" s="2"/>
    </row>
    <row r="34" spans="2:35" x14ac:dyDescent="0.25">
      <c r="C34" s="115">
        <v>50</v>
      </c>
      <c r="D34" s="115"/>
      <c r="E34" s="115"/>
      <c r="F34" s="116"/>
      <c r="G34" s="117"/>
      <c r="H34" s="118"/>
      <c r="I34" s="119">
        <v>50</v>
      </c>
      <c r="J34" s="115"/>
      <c r="K34" s="115"/>
      <c r="L34" s="116"/>
      <c r="M34" s="117"/>
      <c r="N34" s="118"/>
      <c r="O34" s="119">
        <v>50</v>
      </c>
      <c r="P34" s="119"/>
      <c r="Q34" s="119"/>
      <c r="R34" s="119"/>
      <c r="S34" s="119"/>
      <c r="T34" s="119"/>
      <c r="U34" s="119">
        <v>0</v>
      </c>
      <c r="V34" s="119"/>
      <c r="W34" s="119"/>
      <c r="X34" s="120"/>
      <c r="Y34" s="121"/>
      <c r="Z34" s="120"/>
      <c r="AA34" s="119">
        <v>50</v>
      </c>
      <c r="AB34" s="121"/>
      <c r="AC34" s="121"/>
      <c r="AD34" s="2"/>
    </row>
    <row r="35" spans="2:35" x14ac:dyDescent="0.25">
      <c r="C35" s="115">
        <v>10</v>
      </c>
      <c r="D35" s="115"/>
      <c r="E35" s="115"/>
      <c r="F35" s="116"/>
      <c r="G35" s="117"/>
      <c r="H35" s="118"/>
      <c r="I35" s="119">
        <v>0</v>
      </c>
      <c r="J35" s="115"/>
      <c r="K35" s="115"/>
      <c r="L35" s="116"/>
      <c r="M35" s="117"/>
      <c r="N35" s="118"/>
      <c r="O35" s="119">
        <v>10</v>
      </c>
      <c r="P35" s="119"/>
      <c r="Q35" s="119"/>
      <c r="R35" s="119"/>
      <c r="S35" s="119"/>
      <c r="T35" s="119"/>
      <c r="U35" s="119">
        <v>20</v>
      </c>
      <c r="V35" s="119"/>
      <c r="W35" s="119"/>
      <c r="X35" s="120"/>
      <c r="Y35" s="121"/>
      <c r="Z35" s="120"/>
      <c r="AA35" s="119">
        <v>40</v>
      </c>
      <c r="AB35" s="121"/>
      <c r="AC35" s="121"/>
      <c r="AD35" s="2"/>
      <c r="AG35" s="1" t="s">
        <v>25</v>
      </c>
      <c r="AI35" s="1" t="s">
        <v>25</v>
      </c>
    </row>
    <row r="36" spans="2:35" x14ac:dyDescent="0.25">
      <c r="C36" s="1" t="s">
        <v>32</v>
      </c>
      <c r="E36" s="131"/>
      <c r="G36" s="125"/>
      <c r="H36" s="118"/>
      <c r="I36" s="124"/>
      <c r="K36" s="131"/>
      <c r="M36" s="125"/>
      <c r="N36" s="118"/>
      <c r="O36" s="124">
        <f>146624+4</f>
        <v>146628</v>
      </c>
      <c r="P36" s="124"/>
      <c r="Q36" s="124"/>
      <c r="R36" s="124"/>
      <c r="S36" s="124"/>
      <c r="T36" s="124"/>
      <c r="U36" s="124"/>
      <c r="V36" s="124"/>
      <c r="W36" s="124"/>
      <c r="X36" s="120"/>
      <c r="Y36" s="124"/>
      <c r="Z36" s="120"/>
      <c r="AA36" s="124">
        <f>65728+4</f>
        <v>65732</v>
      </c>
      <c r="AB36" s="124"/>
      <c r="AC36" s="124"/>
      <c r="AD36" s="2"/>
    </row>
    <row r="37" spans="2:35" s="114" customFormat="1" ht="15.75" x14ac:dyDescent="0.25">
      <c r="F37" s="126"/>
      <c r="G37" s="127"/>
      <c r="I37" s="128">
        <f>SUM(I27:I36)</f>
        <v>282350</v>
      </c>
      <c r="L37" s="126"/>
      <c r="M37" s="127"/>
      <c r="O37" s="128">
        <f>SUM(O27:O36)</f>
        <v>408288</v>
      </c>
      <c r="P37" s="116"/>
      <c r="Q37" s="116"/>
      <c r="R37" s="116"/>
      <c r="S37" s="116"/>
      <c r="T37" s="116"/>
      <c r="U37" s="128">
        <f>SUM(U27:U36)</f>
        <v>6320</v>
      </c>
      <c r="V37" s="116"/>
      <c r="W37" s="116"/>
      <c r="X37" s="123"/>
      <c r="Y37" s="116"/>
      <c r="Z37" s="123"/>
      <c r="AA37" s="128">
        <f>SUM(AA27:AA36)</f>
        <v>277922</v>
      </c>
      <c r="AB37" s="129"/>
      <c r="AC37" s="125">
        <f>+I37+U37+AA37+O37</f>
        <v>974880</v>
      </c>
    </row>
    <row r="38" spans="2:35" x14ac:dyDescent="0.25">
      <c r="B38" s="2"/>
      <c r="C38" s="2"/>
      <c r="D38" s="2"/>
      <c r="E38" s="70"/>
      <c r="F38" s="2"/>
      <c r="G38" s="2"/>
      <c r="H38" s="2"/>
      <c r="I38" s="2"/>
      <c r="J38" s="2"/>
      <c r="K38" s="70"/>
      <c r="L38" s="2"/>
      <c r="M38" s="2"/>
      <c r="N38" s="2"/>
      <c r="O38" s="2"/>
      <c r="X38" s="70"/>
      <c r="AA38" s="2"/>
      <c r="AB38" s="130"/>
      <c r="AC38" s="131">
        <f>AC37-AC24</f>
        <v>0</v>
      </c>
    </row>
    <row r="39" spans="2:35" x14ac:dyDescent="0.25">
      <c r="B39" s="2"/>
      <c r="C39" s="2"/>
      <c r="D39" s="2"/>
      <c r="E39" s="70"/>
      <c r="F39" s="2"/>
      <c r="G39" s="2"/>
      <c r="H39" s="2"/>
      <c r="I39" s="129"/>
      <c r="J39" s="2"/>
      <c r="K39" s="70"/>
      <c r="L39" s="2"/>
      <c r="M39" s="285"/>
      <c r="N39" s="2"/>
      <c r="O39" s="129"/>
      <c r="X39" s="70"/>
      <c r="AA39" s="2"/>
      <c r="AB39" s="130"/>
      <c r="AC39" s="131"/>
    </row>
    <row r="40" spans="2:35" x14ac:dyDescent="0.25">
      <c r="D40" s="166"/>
      <c r="E40" s="110"/>
      <c r="Q40" s="133"/>
      <c r="Y40" s="1"/>
      <c r="Z40" s="1"/>
    </row>
    <row r="41" spans="2:35" x14ac:dyDescent="0.25">
      <c r="D41" s="165"/>
      <c r="S41" s="129"/>
      <c r="T41" s="129"/>
      <c r="U41" s="129"/>
      <c r="W41" s="130"/>
    </row>
    <row r="42" spans="2:35" x14ac:dyDescent="0.25">
      <c r="D42" s="165"/>
    </row>
    <row r="44" spans="2:35" x14ac:dyDescent="0.25">
      <c r="D44" s="165"/>
    </row>
    <row r="45" spans="2:35" x14ac:dyDescent="0.25">
      <c r="D45" s="165"/>
    </row>
    <row r="46" spans="2:35" x14ac:dyDescent="0.25">
      <c r="D46" s="165"/>
    </row>
    <row r="47" spans="2:35" x14ac:dyDescent="0.25">
      <c r="D47" s="165"/>
    </row>
  </sheetData>
  <mergeCells count="11">
    <mergeCell ref="Q3:T3"/>
    <mergeCell ref="C4:D4"/>
    <mergeCell ref="V6:AA6"/>
    <mergeCell ref="AB6:AB7"/>
    <mergeCell ref="AC6:AC7"/>
    <mergeCell ref="AE6:AE7"/>
    <mergeCell ref="B6:B7"/>
    <mergeCell ref="C6:C7"/>
    <mergeCell ref="D6:I6"/>
    <mergeCell ref="J6:O6"/>
    <mergeCell ref="P6:U6"/>
  </mergeCells>
  <pageMargins left="0" right="0" top="0" bottom="0" header="0" footer="0"/>
  <pageSetup paperSize="9" scale="52" orientation="landscape" horizontalDpi="0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7">
    <pageSetUpPr fitToPage="1"/>
  </sheetPr>
  <dimension ref="A1:AO45"/>
  <sheetViews>
    <sheetView workbookViewId="0">
      <pane xSplit="3" topLeftCell="D1" activePane="topRight" state="frozen"/>
      <selection activeCell="AK24" sqref="AK24"/>
      <selection pane="topRight" activeCell="AF39" sqref="B2:AF39"/>
    </sheetView>
  </sheetViews>
  <sheetFormatPr baseColWidth="10" defaultRowHeight="15" x14ac:dyDescent="0.25"/>
  <cols>
    <col min="1" max="1" width="1.7109375" style="1" customWidth="1"/>
    <col min="2" max="2" width="10" style="1" customWidth="1"/>
    <col min="3" max="3" width="29.140625" style="1" customWidth="1"/>
    <col min="4" max="4" width="5.7109375" style="1" customWidth="1"/>
    <col min="5" max="5" width="10.7109375" style="1" customWidth="1"/>
    <col min="6" max="6" width="5.7109375" style="1" customWidth="1"/>
    <col min="7" max="7" width="10.7109375" style="1" customWidth="1"/>
    <col min="8" max="8" width="5.7109375" style="1" customWidth="1"/>
    <col min="9" max="9" width="10.7109375" style="1" customWidth="1"/>
    <col min="10" max="10" width="5.7109375" style="1" customWidth="1"/>
    <col min="11" max="11" width="10.7109375" style="1" customWidth="1"/>
    <col min="12" max="12" width="5.7109375" style="1" customWidth="1"/>
    <col min="13" max="13" width="10.7109375" style="1" customWidth="1"/>
    <col min="14" max="14" width="5.7109375" style="1" customWidth="1"/>
    <col min="15" max="15" width="10.7109375" style="1" customWidth="1"/>
    <col min="16" max="16" width="5.7109375" style="2" customWidth="1"/>
    <col min="17" max="17" width="10.7109375" style="2" customWidth="1"/>
    <col min="18" max="18" width="5.7109375" style="2" customWidth="1"/>
    <col min="19" max="19" width="10.7109375" style="2" customWidth="1"/>
    <col min="20" max="20" width="5.7109375" style="2" customWidth="1"/>
    <col min="21" max="21" width="10.7109375" style="2" customWidth="1"/>
    <col min="22" max="22" width="5.7109375" style="2" customWidth="1"/>
    <col min="23" max="23" width="10.7109375" style="2" customWidth="1"/>
    <col min="24" max="24" width="5.7109375" style="2" customWidth="1"/>
    <col min="25" max="25" width="10.7109375" style="2" customWidth="1"/>
    <col min="26" max="26" width="5.7109375" style="2" customWidth="1"/>
    <col min="27" max="27" width="10.7109375" style="1" customWidth="1"/>
    <col min="28" max="28" width="9.5703125" style="1" customWidth="1"/>
    <col min="29" max="29" width="14.5703125" style="1" bestFit="1" customWidth="1"/>
    <col min="30" max="30" width="3.28515625" style="1" customWidth="1"/>
    <col min="31" max="31" width="11.42578125" style="1"/>
    <col min="32" max="32" width="3.7109375" style="1" customWidth="1"/>
    <col min="33" max="33" width="10.140625" style="1" customWidth="1"/>
    <col min="34" max="34" width="3.7109375" style="1" customWidth="1"/>
    <col min="35" max="35" width="11.42578125" style="1"/>
    <col min="36" max="36" width="3.7109375" style="1" customWidth="1"/>
    <col min="37" max="37" width="5.7109375" style="1" customWidth="1"/>
    <col min="38" max="38" width="3.7109375" style="1" customWidth="1"/>
    <col min="39" max="39" width="5.7109375" style="1" customWidth="1"/>
    <col min="40" max="40" width="3.7109375" style="1" customWidth="1"/>
    <col min="41" max="41" width="5.7109375" style="1" customWidth="1"/>
    <col min="42" max="16384" width="11.42578125" style="1"/>
  </cols>
  <sheetData>
    <row r="1" spans="1:39" ht="5.25" customHeight="1" x14ac:dyDescent="0.25">
      <c r="Y1" s="1"/>
      <c r="Z1" s="1"/>
    </row>
    <row r="2" spans="1:39" ht="21" x14ac:dyDescent="0.35">
      <c r="B2" s="3" t="s">
        <v>0</v>
      </c>
      <c r="P2" s="1"/>
      <c r="Q2" s="4"/>
      <c r="Z2" s="1"/>
    </row>
    <row r="3" spans="1:39" ht="15" customHeight="1" x14ac:dyDescent="0.25">
      <c r="A3" s="5"/>
      <c r="B3" s="6" t="s">
        <v>1</v>
      </c>
      <c r="C3" s="7"/>
      <c r="D3" s="7"/>
      <c r="E3" s="7"/>
      <c r="F3" s="7"/>
      <c r="P3" s="1"/>
      <c r="Q3" s="353"/>
      <c r="R3" s="353"/>
      <c r="S3" s="353"/>
      <c r="T3" s="353"/>
      <c r="U3" s="149"/>
      <c r="V3" s="149"/>
      <c r="Z3" s="1"/>
    </row>
    <row r="4" spans="1:39" ht="18" customHeight="1" x14ac:dyDescent="0.25">
      <c r="B4" s="150" t="s">
        <v>2</v>
      </c>
      <c r="C4" s="354" t="s">
        <v>52</v>
      </c>
      <c r="D4" s="355"/>
      <c r="E4" s="150"/>
      <c r="F4" s="150"/>
      <c r="P4" s="1"/>
      <c r="Q4" s="9"/>
      <c r="R4" s="10"/>
      <c r="S4" s="9"/>
      <c r="T4" s="9"/>
      <c r="U4" s="9"/>
      <c r="V4" s="9"/>
      <c r="Z4" s="1"/>
    </row>
    <row r="5" spans="1:39" ht="15.75" thickBot="1" x14ac:dyDescent="0.3">
      <c r="A5" s="150"/>
      <c r="B5" s="150"/>
      <c r="C5" s="150"/>
      <c r="D5" s="189"/>
      <c r="E5" s="189"/>
      <c r="J5" s="189"/>
      <c r="K5" s="189"/>
      <c r="P5" s="1"/>
      <c r="Q5" s="1"/>
      <c r="R5" s="1"/>
      <c r="S5" s="1"/>
      <c r="T5" s="1"/>
      <c r="U5" s="1"/>
      <c r="V5" s="9"/>
      <c r="W5" s="9"/>
      <c r="X5" s="9"/>
      <c r="Y5" s="9"/>
      <c r="Z5" s="9"/>
      <c r="AA5" s="9"/>
      <c r="AB5" s="2"/>
      <c r="AC5" s="2"/>
      <c r="AD5" s="2"/>
    </row>
    <row r="6" spans="1:39" ht="27.75" customHeight="1" thickBot="1" x14ac:dyDescent="0.3">
      <c r="B6" s="356" t="s">
        <v>3</v>
      </c>
      <c r="C6" s="343" t="s">
        <v>4</v>
      </c>
      <c r="D6" s="358" t="s">
        <v>36</v>
      </c>
      <c r="E6" s="359"/>
      <c r="F6" s="360"/>
      <c r="G6" s="360"/>
      <c r="H6" s="360"/>
      <c r="I6" s="361"/>
      <c r="J6" s="370" t="s">
        <v>47</v>
      </c>
      <c r="K6" s="371"/>
      <c r="L6" s="372"/>
      <c r="M6" s="372"/>
      <c r="N6" s="372"/>
      <c r="O6" s="373"/>
      <c r="P6" s="362" t="s">
        <v>42</v>
      </c>
      <c r="Q6" s="363"/>
      <c r="R6" s="364"/>
      <c r="S6" s="364"/>
      <c r="T6" s="364"/>
      <c r="U6" s="365"/>
      <c r="V6" s="366" t="s">
        <v>31</v>
      </c>
      <c r="W6" s="367"/>
      <c r="X6" s="368"/>
      <c r="Y6" s="368"/>
      <c r="Z6" s="368"/>
      <c r="AA6" s="369"/>
      <c r="AB6" s="349" t="s">
        <v>5</v>
      </c>
      <c r="AC6" s="349" t="s">
        <v>6</v>
      </c>
      <c r="AD6" s="2"/>
      <c r="AE6" s="351" t="s">
        <v>7</v>
      </c>
      <c r="AF6" s="2"/>
    </row>
    <row r="7" spans="1:39" ht="25.5" customHeight="1" thickBot="1" x14ac:dyDescent="0.3">
      <c r="B7" s="357"/>
      <c r="C7" s="344"/>
      <c r="D7" s="11" t="s">
        <v>8</v>
      </c>
      <c r="E7" s="14" t="s">
        <v>9</v>
      </c>
      <c r="F7" s="13" t="s">
        <v>8</v>
      </c>
      <c r="G7" s="14" t="s">
        <v>9</v>
      </c>
      <c r="H7" s="11" t="s">
        <v>5</v>
      </c>
      <c r="I7" s="14" t="s">
        <v>10</v>
      </c>
      <c r="J7" s="190" t="s">
        <v>8</v>
      </c>
      <c r="K7" s="192" t="s">
        <v>9</v>
      </c>
      <c r="L7" s="191" t="s">
        <v>8</v>
      </c>
      <c r="M7" s="192" t="s">
        <v>9</v>
      </c>
      <c r="N7" s="190" t="s">
        <v>5</v>
      </c>
      <c r="O7" s="192" t="s">
        <v>10</v>
      </c>
      <c r="P7" s="15" t="s">
        <v>8</v>
      </c>
      <c r="Q7" s="16" t="s">
        <v>9</v>
      </c>
      <c r="R7" s="17" t="s">
        <v>8</v>
      </c>
      <c r="S7" s="16" t="s">
        <v>9</v>
      </c>
      <c r="T7" s="15" t="s">
        <v>5</v>
      </c>
      <c r="U7" s="16" t="s">
        <v>10</v>
      </c>
      <c r="V7" s="18" t="s">
        <v>8</v>
      </c>
      <c r="W7" s="19" t="s">
        <v>9</v>
      </c>
      <c r="X7" s="20" t="s">
        <v>8</v>
      </c>
      <c r="Y7" s="21" t="s">
        <v>9</v>
      </c>
      <c r="Z7" s="18" t="s">
        <v>5</v>
      </c>
      <c r="AA7" s="21" t="s">
        <v>10</v>
      </c>
      <c r="AB7" s="350"/>
      <c r="AC7" s="350"/>
      <c r="AD7" s="2"/>
      <c r="AE7" s="352"/>
      <c r="AG7" s="22" t="s">
        <v>11</v>
      </c>
      <c r="AI7" s="22" t="s">
        <v>12</v>
      </c>
    </row>
    <row r="8" spans="1:39" x14ac:dyDescent="0.25">
      <c r="B8" s="173">
        <v>6320</v>
      </c>
      <c r="C8" s="157" t="s">
        <v>13</v>
      </c>
      <c r="D8" s="24"/>
      <c r="E8" s="25">
        <f>+D8*B8</f>
        <v>0</v>
      </c>
      <c r="F8" s="26">
        <v>6</v>
      </c>
      <c r="G8" s="27">
        <f>6320*6</f>
        <v>37920</v>
      </c>
      <c r="H8" s="28">
        <f>D8+F8</f>
        <v>6</v>
      </c>
      <c r="I8" s="238">
        <f>E8+G8</f>
        <v>37920</v>
      </c>
      <c r="J8" s="199"/>
      <c r="K8" s="202">
        <f>+J8*B8</f>
        <v>0</v>
      </c>
      <c r="L8" s="222"/>
      <c r="M8" s="202"/>
      <c r="N8" s="193">
        <f>J8+L8</f>
        <v>0</v>
      </c>
      <c r="O8" s="194">
        <f>K8+M8</f>
        <v>0</v>
      </c>
      <c r="P8" s="30"/>
      <c r="Q8" s="31">
        <f>+P8*B8</f>
        <v>0</v>
      </c>
      <c r="R8" s="32">
        <v>5</v>
      </c>
      <c r="S8" s="33">
        <f>6320*5</f>
        <v>31600</v>
      </c>
      <c r="T8" s="34">
        <f>P8+R8</f>
        <v>5</v>
      </c>
      <c r="U8" s="35">
        <f>Q8+S8</f>
        <v>31600</v>
      </c>
      <c r="V8" s="36"/>
      <c r="W8" s="37">
        <f t="shared" ref="W8:W19" si="0">+V8*B8</f>
        <v>0</v>
      </c>
      <c r="X8" s="38">
        <v>10</v>
      </c>
      <c r="Y8" s="39">
        <f>6320*9+1264</f>
        <v>58144</v>
      </c>
      <c r="Z8" s="40">
        <f>V8+X8</f>
        <v>10</v>
      </c>
      <c r="AA8" s="41">
        <f>Y8+W8</f>
        <v>58144</v>
      </c>
      <c r="AB8" s="152">
        <f>+D8+F8+P8+R8+V8+X8+L8+J8</f>
        <v>21</v>
      </c>
      <c r="AC8" s="220">
        <f>+E8+G8+Q8+S8+W8+Y8+K8+M8</f>
        <v>127664</v>
      </c>
      <c r="AD8" s="44"/>
      <c r="AE8" s="156">
        <v>5056</v>
      </c>
      <c r="AG8" s="187">
        <f>E8+W8+Q8+K8</f>
        <v>0</v>
      </c>
      <c r="AI8" s="156">
        <f>G8+Y8+S8+M8</f>
        <v>127664</v>
      </c>
      <c r="AK8" s="139">
        <f>F8+R8+X8+L8</f>
        <v>21</v>
      </c>
      <c r="AM8" s="139">
        <f>+D8+P8+V8+J8</f>
        <v>0</v>
      </c>
    </row>
    <row r="9" spans="1:39" x14ac:dyDescent="0.25">
      <c r="B9" s="174">
        <v>6320</v>
      </c>
      <c r="C9" s="153" t="s">
        <v>14</v>
      </c>
      <c r="D9" s="47"/>
      <c r="E9" s="48">
        <f t="shared" ref="E9:E19" si="1">+D9*B9</f>
        <v>0</v>
      </c>
      <c r="F9" s="49"/>
      <c r="G9" s="50"/>
      <c r="H9" s="51">
        <f>D9+F9</f>
        <v>0</v>
      </c>
      <c r="I9" s="177">
        <f>G9+E9</f>
        <v>0</v>
      </c>
      <c r="J9" s="207"/>
      <c r="K9" s="241">
        <f t="shared" ref="K9:K19" si="2">+J9*B9</f>
        <v>0</v>
      </c>
      <c r="L9" s="223"/>
      <c r="M9" s="206"/>
      <c r="N9" s="195">
        <f>J9+L9</f>
        <v>0</v>
      </c>
      <c r="O9" s="196">
        <f>M9+K9</f>
        <v>0</v>
      </c>
      <c r="P9" s="53"/>
      <c r="Q9" s="31">
        <f t="shared" ref="Q9:Q19" si="3">+P9*B9</f>
        <v>0</v>
      </c>
      <c r="R9" s="55">
        <v>7</v>
      </c>
      <c r="S9" s="56">
        <f>948+6320*6</f>
        <v>38868</v>
      </c>
      <c r="T9" s="57">
        <f>P9+R9</f>
        <v>7</v>
      </c>
      <c r="U9" s="58">
        <f>S9+Q9</f>
        <v>38868</v>
      </c>
      <c r="V9" s="59"/>
      <c r="W9" s="60">
        <f t="shared" si="0"/>
        <v>0</v>
      </c>
      <c r="X9" s="61">
        <v>8</v>
      </c>
      <c r="Y9" s="62">
        <f>6320*8</f>
        <v>50560</v>
      </c>
      <c r="Z9" s="63">
        <f>V9+X9</f>
        <v>8</v>
      </c>
      <c r="AA9" s="41">
        <f>Y9+W9</f>
        <v>50560</v>
      </c>
      <c r="AB9" s="152">
        <f t="shared" ref="AB9:AB22" si="4">+D9+F9+P9+R9+V9+X9+L9+J9</f>
        <v>15</v>
      </c>
      <c r="AC9" s="220">
        <f t="shared" ref="AC9:AC22" si="5">+E9+G9+Q9+S9+W9+Y9+K9+M9</f>
        <v>89428</v>
      </c>
      <c r="AD9" s="44"/>
      <c r="AE9" s="151">
        <v>5372</v>
      </c>
      <c r="AG9" s="218">
        <f t="shared" ref="AG9:AG22" si="6">E9+W9+Q9+K9</f>
        <v>0</v>
      </c>
      <c r="AI9" s="151">
        <f t="shared" ref="AI9:AI22" si="7">G9+Y9+S9+M9</f>
        <v>89428</v>
      </c>
      <c r="AK9" s="142">
        <f t="shared" ref="AK9:AK22" si="8">F9+R9+X9+L9</f>
        <v>15</v>
      </c>
      <c r="AM9" s="142">
        <f t="shared" ref="AM9:AM22" si="9">+D9+P9+V9+J9</f>
        <v>0</v>
      </c>
    </row>
    <row r="10" spans="1:39" x14ac:dyDescent="0.25">
      <c r="B10" s="174">
        <v>6320</v>
      </c>
      <c r="C10" s="153" t="s">
        <v>16</v>
      </c>
      <c r="D10" s="47"/>
      <c r="E10" s="48">
        <f t="shared" si="1"/>
        <v>0</v>
      </c>
      <c r="F10" s="49"/>
      <c r="G10" s="50"/>
      <c r="H10" s="51">
        <f t="shared" ref="H10:H22" si="10">D10+F10</f>
        <v>0</v>
      </c>
      <c r="I10" s="177">
        <f t="shared" ref="I10:I22" si="11">G10+E10</f>
        <v>0</v>
      </c>
      <c r="J10" s="207"/>
      <c r="K10" s="241">
        <f t="shared" si="2"/>
        <v>0</v>
      </c>
      <c r="L10" s="223">
        <v>3</v>
      </c>
      <c r="M10" s="206">
        <f>6320*2+1264</f>
        <v>13904</v>
      </c>
      <c r="N10" s="195">
        <f t="shared" ref="N10:N22" si="12">J10+L10</f>
        <v>3</v>
      </c>
      <c r="O10" s="196">
        <f t="shared" ref="O10:O22" si="13">M10+K10</f>
        <v>13904</v>
      </c>
      <c r="P10" s="53"/>
      <c r="Q10" s="31">
        <f t="shared" si="3"/>
        <v>0</v>
      </c>
      <c r="R10" s="55">
        <v>2</v>
      </c>
      <c r="S10" s="56">
        <f>6320*2</f>
        <v>12640</v>
      </c>
      <c r="T10" s="57">
        <f t="shared" ref="T10:T22" si="14">P10+R10</f>
        <v>2</v>
      </c>
      <c r="U10" s="58">
        <f t="shared" ref="U10:U22" si="15">S10+Q10</f>
        <v>12640</v>
      </c>
      <c r="V10" s="59"/>
      <c r="W10" s="60">
        <f t="shared" si="0"/>
        <v>0</v>
      </c>
      <c r="X10" s="61">
        <v>5</v>
      </c>
      <c r="Y10" s="62">
        <f>6320*4+2528</f>
        <v>27808</v>
      </c>
      <c r="Z10" s="63">
        <f t="shared" ref="Z10:Z22" si="16">V10+X10</f>
        <v>5</v>
      </c>
      <c r="AA10" s="41">
        <f t="shared" ref="AA10:AA22" si="17">Y10+W10</f>
        <v>27808</v>
      </c>
      <c r="AB10" s="152">
        <f t="shared" si="4"/>
        <v>10</v>
      </c>
      <c r="AC10" s="220">
        <f t="shared" si="5"/>
        <v>54352</v>
      </c>
      <c r="AD10" s="44"/>
      <c r="AE10" s="151">
        <f>3792+5056</f>
        <v>8848</v>
      </c>
      <c r="AG10" s="218">
        <f t="shared" si="6"/>
        <v>0</v>
      </c>
      <c r="AI10" s="151">
        <f t="shared" si="7"/>
        <v>54352</v>
      </c>
      <c r="AK10" s="142">
        <f t="shared" si="8"/>
        <v>10</v>
      </c>
      <c r="AM10" s="142">
        <f t="shared" si="9"/>
        <v>0</v>
      </c>
    </row>
    <row r="11" spans="1:39" x14ac:dyDescent="0.25">
      <c r="B11" s="174">
        <v>6320</v>
      </c>
      <c r="C11" s="153" t="s">
        <v>17</v>
      </c>
      <c r="D11" s="65"/>
      <c r="E11" s="48">
        <f t="shared" si="1"/>
        <v>0</v>
      </c>
      <c r="F11" s="49">
        <v>1</v>
      </c>
      <c r="G11" s="50">
        <v>6320</v>
      </c>
      <c r="H11" s="51">
        <f t="shared" si="10"/>
        <v>1</v>
      </c>
      <c r="I11" s="177">
        <f t="shared" si="11"/>
        <v>6320</v>
      </c>
      <c r="J11" s="207"/>
      <c r="K11" s="241">
        <f t="shared" si="2"/>
        <v>0</v>
      </c>
      <c r="L11" s="223"/>
      <c r="M11" s="206"/>
      <c r="N11" s="195">
        <f t="shared" si="12"/>
        <v>0</v>
      </c>
      <c r="O11" s="196">
        <f t="shared" si="13"/>
        <v>0</v>
      </c>
      <c r="P11" s="66"/>
      <c r="Q11" s="31">
        <f t="shared" si="3"/>
        <v>0</v>
      </c>
      <c r="R11" s="67">
        <v>4</v>
      </c>
      <c r="S11" s="56">
        <f>3160+6320*3</f>
        <v>22120</v>
      </c>
      <c r="T11" s="57">
        <f t="shared" si="14"/>
        <v>4</v>
      </c>
      <c r="U11" s="58">
        <f t="shared" si="15"/>
        <v>22120</v>
      </c>
      <c r="V11" s="68"/>
      <c r="W11" s="60">
        <f t="shared" si="0"/>
        <v>0</v>
      </c>
      <c r="X11" s="69">
        <v>7</v>
      </c>
      <c r="Y11" s="62">
        <f>6320*7</f>
        <v>44240</v>
      </c>
      <c r="Z11" s="63">
        <f t="shared" si="16"/>
        <v>7</v>
      </c>
      <c r="AA11" s="41">
        <f t="shared" si="17"/>
        <v>44240</v>
      </c>
      <c r="AB11" s="152">
        <f t="shared" si="4"/>
        <v>12</v>
      </c>
      <c r="AC11" s="220">
        <f t="shared" si="5"/>
        <v>72680</v>
      </c>
      <c r="AD11" s="70"/>
      <c r="AE11" s="151">
        <v>3160</v>
      </c>
      <c r="AG11" s="218">
        <f t="shared" si="6"/>
        <v>0</v>
      </c>
      <c r="AI11" s="151">
        <f t="shared" si="7"/>
        <v>72680</v>
      </c>
      <c r="AK11" s="142">
        <f t="shared" si="8"/>
        <v>12</v>
      </c>
      <c r="AM11" s="142">
        <f t="shared" si="9"/>
        <v>0</v>
      </c>
    </row>
    <row r="12" spans="1:39" x14ac:dyDescent="0.25">
      <c r="B12" s="174">
        <v>6320</v>
      </c>
      <c r="C12" s="46" t="s">
        <v>18</v>
      </c>
      <c r="D12" s="65"/>
      <c r="E12" s="48">
        <f t="shared" si="1"/>
        <v>0</v>
      </c>
      <c r="F12" s="49"/>
      <c r="G12" s="50"/>
      <c r="H12" s="51">
        <f t="shared" si="10"/>
        <v>0</v>
      </c>
      <c r="I12" s="177">
        <f t="shared" si="11"/>
        <v>0</v>
      </c>
      <c r="J12" s="207"/>
      <c r="K12" s="241">
        <f t="shared" si="2"/>
        <v>0</v>
      </c>
      <c r="L12" s="223"/>
      <c r="M12" s="206"/>
      <c r="N12" s="195">
        <f t="shared" si="12"/>
        <v>0</v>
      </c>
      <c r="O12" s="196">
        <f t="shared" si="13"/>
        <v>0</v>
      </c>
      <c r="P12" s="66"/>
      <c r="Q12" s="31">
        <f t="shared" si="3"/>
        <v>0</v>
      </c>
      <c r="R12" s="67"/>
      <c r="S12" s="56"/>
      <c r="T12" s="57">
        <f t="shared" si="14"/>
        <v>0</v>
      </c>
      <c r="U12" s="58">
        <f t="shared" si="15"/>
        <v>0</v>
      </c>
      <c r="V12" s="68"/>
      <c r="W12" s="60">
        <v>0</v>
      </c>
      <c r="X12" s="69"/>
      <c r="Y12" s="62"/>
      <c r="Z12" s="63">
        <f t="shared" si="16"/>
        <v>0</v>
      </c>
      <c r="AA12" s="41">
        <f t="shared" si="17"/>
        <v>0</v>
      </c>
      <c r="AB12" s="42">
        <f t="shared" si="4"/>
        <v>0</v>
      </c>
      <c r="AC12" s="188">
        <f t="shared" si="5"/>
        <v>0</v>
      </c>
      <c r="AD12" s="71"/>
      <c r="AE12" s="64"/>
      <c r="AG12" s="218">
        <f t="shared" si="6"/>
        <v>0</v>
      </c>
      <c r="AI12" s="64">
        <f t="shared" si="7"/>
        <v>0</v>
      </c>
      <c r="AK12" s="142">
        <f t="shared" si="8"/>
        <v>0</v>
      </c>
      <c r="AM12" s="142">
        <f t="shared" si="9"/>
        <v>0</v>
      </c>
    </row>
    <row r="13" spans="1:39" x14ac:dyDescent="0.25">
      <c r="B13" s="174">
        <v>6320</v>
      </c>
      <c r="C13" s="46" t="s">
        <v>19</v>
      </c>
      <c r="D13" s="65"/>
      <c r="E13" s="48">
        <f t="shared" si="1"/>
        <v>0</v>
      </c>
      <c r="F13" s="49"/>
      <c r="G13" s="50"/>
      <c r="H13" s="51">
        <f t="shared" si="10"/>
        <v>0</v>
      </c>
      <c r="I13" s="177">
        <f t="shared" si="11"/>
        <v>0</v>
      </c>
      <c r="J13" s="207"/>
      <c r="K13" s="241">
        <f t="shared" si="2"/>
        <v>0</v>
      </c>
      <c r="L13" s="223"/>
      <c r="M13" s="206"/>
      <c r="N13" s="195">
        <f t="shared" si="12"/>
        <v>0</v>
      </c>
      <c r="O13" s="196">
        <f t="shared" si="13"/>
        <v>0</v>
      </c>
      <c r="P13" s="66"/>
      <c r="Q13" s="31">
        <f t="shared" si="3"/>
        <v>0</v>
      </c>
      <c r="R13" s="67"/>
      <c r="S13" s="56"/>
      <c r="T13" s="57">
        <f t="shared" si="14"/>
        <v>0</v>
      </c>
      <c r="U13" s="58">
        <f t="shared" si="15"/>
        <v>0</v>
      </c>
      <c r="V13" s="68"/>
      <c r="W13" s="60">
        <f t="shared" si="0"/>
        <v>0</v>
      </c>
      <c r="X13" s="69"/>
      <c r="Y13" s="62"/>
      <c r="Z13" s="63">
        <f t="shared" si="16"/>
        <v>0</v>
      </c>
      <c r="AA13" s="41">
        <f t="shared" si="17"/>
        <v>0</v>
      </c>
      <c r="AB13" s="42">
        <f t="shared" si="4"/>
        <v>0</v>
      </c>
      <c r="AC13" s="188">
        <f t="shared" si="5"/>
        <v>0</v>
      </c>
      <c r="AD13" s="70"/>
      <c r="AE13" s="64"/>
      <c r="AG13" s="218">
        <f t="shared" si="6"/>
        <v>0</v>
      </c>
      <c r="AI13" s="64">
        <f t="shared" si="7"/>
        <v>0</v>
      </c>
      <c r="AK13" s="142">
        <f t="shared" si="8"/>
        <v>0</v>
      </c>
      <c r="AM13" s="142">
        <f t="shared" si="9"/>
        <v>0</v>
      </c>
    </row>
    <row r="14" spans="1:39" x14ac:dyDescent="0.25">
      <c r="B14" s="174">
        <v>6320</v>
      </c>
      <c r="C14" s="46" t="s">
        <v>20</v>
      </c>
      <c r="D14" s="65"/>
      <c r="E14" s="48">
        <f t="shared" si="1"/>
        <v>0</v>
      </c>
      <c r="F14" s="49"/>
      <c r="G14" s="50"/>
      <c r="H14" s="51">
        <f t="shared" si="10"/>
        <v>0</v>
      </c>
      <c r="I14" s="177">
        <f t="shared" si="11"/>
        <v>0</v>
      </c>
      <c r="J14" s="207"/>
      <c r="K14" s="241">
        <f t="shared" si="2"/>
        <v>0</v>
      </c>
      <c r="L14" s="223"/>
      <c r="M14" s="206"/>
      <c r="N14" s="195">
        <f t="shared" si="12"/>
        <v>0</v>
      </c>
      <c r="O14" s="196">
        <f t="shared" si="13"/>
        <v>0</v>
      </c>
      <c r="P14" s="66"/>
      <c r="Q14" s="31">
        <f t="shared" si="3"/>
        <v>0</v>
      </c>
      <c r="R14" s="67"/>
      <c r="S14" s="56"/>
      <c r="T14" s="57">
        <f t="shared" si="14"/>
        <v>0</v>
      </c>
      <c r="U14" s="58">
        <f t="shared" si="15"/>
        <v>0</v>
      </c>
      <c r="V14" s="68"/>
      <c r="W14" s="60">
        <f t="shared" si="0"/>
        <v>0</v>
      </c>
      <c r="X14" s="69"/>
      <c r="Y14" s="62"/>
      <c r="Z14" s="63">
        <f t="shared" si="16"/>
        <v>0</v>
      </c>
      <c r="AA14" s="41">
        <f t="shared" si="17"/>
        <v>0</v>
      </c>
      <c r="AB14" s="42">
        <f t="shared" si="4"/>
        <v>0</v>
      </c>
      <c r="AC14" s="188">
        <f t="shared" si="5"/>
        <v>0</v>
      </c>
      <c r="AD14" s="70"/>
      <c r="AE14" s="64"/>
      <c r="AG14" s="218">
        <f t="shared" si="6"/>
        <v>0</v>
      </c>
      <c r="AI14" s="64">
        <f t="shared" si="7"/>
        <v>0</v>
      </c>
      <c r="AK14" s="142">
        <f t="shared" si="8"/>
        <v>0</v>
      </c>
      <c r="AM14" s="142">
        <f t="shared" si="9"/>
        <v>0</v>
      </c>
    </row>
    <row r="15" spans="1:39" x14ac:dyDescent="0.25">
      <c r="B15" s="174">
        <v>6320</v>
      </c>
      <c r="C15" s="46" t="s">
        <v>21</v>
      </c>
      <c r="D15" s="65"/>
      <c r="E15" s="48">
        <f t="shared" si="1"/>
        <v>0</v>
      </c>
      <c r="F15" s="49"/>
      <c r="G15" s="50"/>
      <c r="H15" s="51">
        <f t="shared" si="10"/>
        <v>0</v>
      </c>
      <c r="I15" s="177">
        <f t="shared" si="11"/>
        <v>0</v>
      </c>
      <c r="J15" s="207"/>
      <c r="K15" s="241">
        <f t="shared" si="2"/>
        <v>0</v>
      </c>
      <c r="L15" s="223"/>
      <c r="M15" s="206"/>
      <c r="N15" s="195">
        <f t="shared" si="12"/>
        <v>0</v>
      </c>
      <c r="O15" s="196">
        <f t="shared" si="13"/>
        <v>0</v>
      </c>
      <c r="P15" s="66"/>
      <c r="Q15" s="31">
        <f t="shared" si="3"/>
        <v>0</v>
      </c>
      <c r="R15" s="67"/>
      <c r="S15" s="56"/>
      <c r="T15" s="57">
        <f t="shared" si="14"/>
        <v>0</v>
      </c>
      <c r="U15" s="58">
        <f t="shared" si="15"/>
        <v>0</v>
      </c>
      <c r="V15" s="68"/>
      <c r="W15" s="60">
        <f t="shared" si="0"/>
        <v>0</v>
      </c>
      <c r="X15" s="69"/>
      <c r="Y15" s="62"/>
      <c r="Z15" s="63">
        <f t="shared" si="16"/>
        <v>0</v>
      </c>
      <c r="AA15" s="41">
        <f t="shared" si="17"/>
        <v>0</v>
      </c>
      <c r="AB15" s="42">
        <f t="shared" si="4"/>
        <v>0</v>
      </c>
      <c r="AC15" s="188">
        <f t="shared" si="5"/>
        <v>0</v>
      </c>
      <c r="AD15" s="70"/>
      <c r="AE15" s="64"/>
      <c r="AG15" s="218">
        <f t="shared" si="6"/>
        <v>0</v>
      </c>
      <c r="AI15" s="64">
        <f t="shared" si="7"/>
        <v>0</v>
      </c>
      <c r="AK15" s="142">
        <f t="shared" si="8"/>
        <v>0</v>
      </c>
      <c r="AM15" s="142">
        <f t="shared" si="9"/>
        <v>0</v>
      </c>
    </row>
    <row r="16" spans="1:39" x14ac:dyDescent="0.25">
      <c r="B16" s="174" t="s">
        <v>26</v>
      </c>
      <c r="C16" s="46" t="s">
        <v>33</v>
      </c>
      <c r="D16" s="65"/>
      <c r="E16" s="48">
        <v>0</v>
      </c>
      <c r="F16" s="49"/>
      <c r="G16" s="50"/>
      <c r="H16" s="51">
        <f t="shared" si="10"/>
        <v>0</v>
      </c>
      <c r="I16" s="177">
        <f t="shared" si="11"/>
        <v>0</v>
      </c>
      <c r="J16" s="207"/>
      <c r="K16" s="241">
        <v>0</v>
      </c>
      <c r="L16" s="223"/>
      <c r="M16" s="206"/>
      <c r="N16" s="195">
        <f t="shared" si="12"/>
        <v>0</v>
      </c>
      <c r="O16" s="196">
        <f t="shared" si="13"/>
        <v>0</v>
      </c>
      <c r="P16" s="66"/>
      <c r="Q16" s="31">
        <v>0</v>
      </c>
      <c r="R16" s="67"/>
      <c r="S16" s="56"/>
      <c r="T16" s="57">
        <f t="shared" si="14"/>
        <v>0</v>
      </c>
      <c r="U16" s="58">
        <v>0</v>
      </c>
      <c r="V16" s="68"/>
      <c r="W16" s="60">
        <v>0</v>
      </c>
      <c r="X16" s="69"/>
      <c r="Y16" s="62"/>
      <c r="Z16" s="63">
        <f>+X16+V16</f>
        <v>0</v>
      </c>
      <c r="AA16" s="41">
        <f>+Y16+W16</f>
        <v>0</v>
      </c>
      <c r="AB16" s="42">
        <f t="shared" si="4"/>
        <v>0</v>
      </c>
      <c r="AC16" s="188">
        <f t="shared" si="5"/>
        <v>0</v>
      </c>
      <c r="AD16" s="70"/>
      <c r="AE16" s="64"/>
      <c r="AG16" s="218">
        <f t="shared" si="6"/>
        <v>0</v>
      </c>
      <c r="AI16" s="64">
        <f t="shared" si="7"/>
        <v>0</v>
      </c>
      <c r="AK16" s="142">
        <f t="shared" si="8"/>
        <v>0</v>
      </c>
      <c r="AM16" s="142">
        <f t="shared" si="9"/>
        <v>0</v>
      </c>
    </row>
    <row r="17" spans="2:41" x14ac:dyDescent="0.25">
      <c r="B17" s="175">
        <v>14010</v>
      </c>
      <c r="C17" s="46" t="s">
        <v>23</v>
      </c>
      <c r="D17" s="65"/>
      <c r="E17" s="48">
        <f t="shared" si="1"/>
        <v>0</v>
      </c>
      <c r="F17" s="49"/>
      <c r="G17" s="50"/>
      <c r="H17" s="51">
        <f t="shared" si="10"/>
        <v>0</v>
      </c>
      <c r="I17" s="177">
        <f t="shared" si="11"/>
        <v>0</v>
      </c>
      <c r="J17" s="207"/>
      <c r="K17" s="241">
        <f t="shared" si="2"/>
        <v>0</v>
      </c>
      <c r="L17" s="223"/>
      <c r="M17" s="206"/>
      <c r="N17" s="195">
        <f t="shared" si="12"/>
        <v>0</v>
      </c>
      <c r="O17" s="196">
        <f t="shared" si="13"/>
        <v>0</v>
      </c>
      <c r="P17" s="66"/>
      <c r="Q17" s="31">
        <f t="shared" si="3"/>
        <v>0</v>
      </c>
      <c r="R17" s="67"/>
      <c r="S17" s="56"/>
      <c r="T17" s="57">
        <f t="shared" si="14"/>
        <v>0</v>
      </c>
      <c r="U17" s="58">
        <f t="shared" si="15"/>
        <v>0</v>
      </c>
      <c r="V17" s="68"/>
      <c r="W17" s="60">
        <f t="shared" si="0"/>
        <v>0</v>
      </c>
      <c r="X17" s="69"/>
      <c r="Y17" s="62"/>
      <c r="Z17" s="63">
        <f t="shared" si="16"/>
        <v>0</v>
      </c>
      <c r="AA17" s="41">
        <f t="shared" si="17"/>
        <v>0</v>
      </c>
      <c r="AB17" s="42">
        <f t="shared" si="4"/>
        <v>0</v>
      </c>
      <c r="AC17" s="188">
        <f t="shared" si="5"/>
        <v>0</v>
      </c>
      <c r="AD17" s="70"/>
      <c r="AE17" s="64"/>
      <c r="AG17" s="218">
        <f t="shared" si="6"/>
        <v>0</v>
      </c>
      <c r="AI17" s="64">
        <f t="shared" si="7"/>
        <v>0</v>
      </c>
      <c r="AK17" s="142">
        <f t="shared" si="8"/>
        <v>0</v>
      </c>
      <c r="AM17" s="142">
        <f t="shared" si="9"/>
        <v>0</v>
      </c>
    </row>
    <row r="18" spans="2:41" x14ac:dyDescent="0.25">
      <c r="B18" s="174">
        <v>11870</v>
      </c>
      <c r="C18" s="46" t="s">
        <v>24</v>
      </c>
      <c r="D18" s="65"/>
      <c r="E18" s="48">
        <f t="shared" si="1"/>
        <v>0</v>
      </c>
      <c r="F18" s="49"/>
      <c r="G18" s="50"/>
      <c r="H18" s="51">
        <f t="shared" si="10"/>
        <v>0</v>
      </c>
      <c r="I18" s="177">
        <f t="shared" si="11"/>
        <v>0</v>
      </c>
      <c r="J18" s="207"/>
      <c r="K18" s="241">
        <f t="shared" si="2"/>
        <v>0</v>
      </c>
      <c r="L18" s="223"/>
      <c r="M18" s="206"/>
      <c r="N18" s="195">
        <f t="shared" si="12"/>
        <v>0</v>
      </c>
      <c r="O18" s="196">
        <f t="shared" si="13"/>
        <v>0</v>
      </c>
      <c r="P18" s="66"/>
      <c r="Q18" s="31">
        <f t="shared" si="3"/>
        <v>0</v>
      </c>
      <c r="R18" s="67"/>
      <c r="S18" s="56"/>
      <c r="T18" s="57">
        <f t="shared" si="14"/>
        <v>0</v>
      </c>
      <c r="U18" s="58">
        <f t="shared" si="15"/>
        <v>0</v>
      </c>
      <c r="V18" s="68"/>
      <c r="W18" s="60">
        <f t="shared" si="0"/>
        <v>0</v>
      </c>
      <c r="X18" s="69"/>
      <c r="Y18" s="62"/>
      <c r="Z18" s="63">
        <f t="shared" si="16"/>
        <v>0</v>
      </c>
      <c r="AA18" s="41">
        <f t="shared" si="17"/>
        <v>0</v>
      </c>
      <c r="AB18" s="42">
        <f t="shared" si="4"/>
        <v>0</v>
      </c>
      <c r="AC18" s="188">
        <f t="shared" si="5"/>
        <v>0</v>
      </c>
      <c r="AD18" s="70"/>
      <c r="AE18" s="64"/>
      <c r="AG18" s="218">
        <f t="shared" si="6"/>
        <v>0</v>
      </c>
      <c r="AI18" s="64">
        <f t="shared" si="7"/>
        <v>0</v>
      </c>
      <c r="AK18" s="142">
        <f t="shared" si="8"/>
        <v>0</v>
      </c>
      <c r="AM18" s="142">
        <f t="shared" si="9"/>
        <v>0</v>
      </c>
    </row>
    <row r="19" spans="2:41" x14ac:dyDescent="0.25">
      <c r="B19" s="174">
        <v>6710</v>
      </c>
      <c r="C19" s="46" t="s">
        <v>0</v>
      </c>
      <c r="D19" s="65"/>
      <c r="E19" s="48">
        <f t="shared" si="1"/>
        <v>0</v>
      </c>
      <c r="F19" s="72"/>
      <c r="G19" s="50"/>
      <c r="H19" s="51">
        <f t="shared" si="10"/>
        <v>0</v>
      </c>
      <c r="I19" s="177">
        <f t="shared" si="11"/>
        <v>0</v>
      </c>
      <c r="J19" s="207"/>
      <c r="K19" s="241">
        <f t="shared" si="2"/>
        <v>0</v>
      </c>
      <c r="L19" s="224"/>
      <c r="M19" s="206"/>
      <c r="N19" s="195">
        <f t="shared" si="12"/>
        <v>0</v>
      </c>
      <c r="O19" s="196">
        <f t="shared" si="13"/>
        <v>0</v>
      </c>
      <c r="P19" s="66"/>
      <c r="Q19" s="31">
        <f t="shared" si="3"/>
        <v>0</v>
      </c>
      <c r="R19" s="73"/>
      <c r="S19" s="56"/>
      <c r="T19" s="57">
        <f t="shared" si="14"/>
        <v>0</v>
      </c>
      <c r="U19" s="58">
        <f t="shared" si="15"/>
        <v>0</v>
      </c>
      <c r="V19" s="68"/>
      <c r="W19" s="60">
        <f t="shared" si="0"/>
        <v>0</v>
      </c>
      <c r="X19" s="74"/>
      <c r="Y19" s="62"/>
      <c r="Z19" s="63">
        <f t="shared" si="16"/>
        <v>0</v>
      </c>
      <c r="AA19" s="41">
        <f t="shared" si="17"/>
        <v>0</v>
      </c>
      <c r="AB19" s="42">
        <f t="shared" si="4"/>
        <v>0</v>
      </c>
      <c r="AC19" s="188">
        <f t="shared" si="5"/>
        <v>0</v>
      </c>
      <c r="AD19" s="70"/>
      <c r="AE19" s="64"/>
      <c r="AF19" s="1" t="s">
        <v>25</v>
      </c>
      <c r="AG19" s="218">
        <f t="shared" si="6"/>
        <v>0</v>
      </c>
      <c r="AI19" s="64">
        <f t="shared" si="7"/>
        <v>0</v>
      </c>
      <c r="AK19" s="142">
        <f t="shared" si="8"/>
        <v>0</v>
      </c>
      <c r="AM19" s="142">
        <f t="shared" si="9"/>
        <v>0</v>
      </c>
    </row>
    <row r="20" spans="2:41" x14ac:dyDescent="0.25">
      <c r="B20" s="174" t="s">
        <v>26</v>
      </c>
      <c r="C20" s="46" t="s">
        <v>0</v>
      </c>
      <c r="D20" s="65"/>
      <c r="E20" s="48">
        <v>0</v>
      </c>
      <c r="F20" s="49"/>
      <c r="G20" s="50"/>
      <c r="H20" s="51">
        <f t="shared" si="10"/>
        <v>0</v>
      </c>
      <c r="I20" s="177">
        <f t="shared" si="11"/>
        <v>0</v>
      </c>
      <c r="J20" s="207"/>
      <c r="K20" s="241">
        <v>0</v>
      </c>
      <c r="L20" s="223"/>
      <c r="M20" s="206"/>
      <c r="N20" s="195">
        <f t="shared" si="12"/>
        <v>0</v>
      </c>
      <c r="O20" s="196">
        <f t="shared" si="13"/>
        <v>0</v>
      </c>
      <c r="P20" s="66"/>
      <c r="Q20" s="31">
        <v>0</v>
      </c>
      <c r="R20" s="67"/>
      <c r="S20" s="56"/>
      <c r="T20" s="57">
        <f t="shared" si="14"/>
        <v>0</v>
      </c>
      <c r="U20" s="58">
        <f t="shared" si="15"/>
        <v>0</v>
      </c>
      <c r="V20" s="68"/>
      <c r="W20" s="60">
        <v>0</v>
      </c>
      <c r="X20" s="69"/>
      <c r="Y20" s="62"/>
      <c r="Z20" s="63">
        <f t="shared" si="16"/>
        <v>0</v>
      </c>
      <c r="AA20" s="41">
        <f t="shared" si="17"/>
        <v>0</v>
      </c>
      <c r="AB20" s="42">
        <f t="shared" si="4"/>
        <v>0</v>
      </c>
      <c r="AC20" s="188">
        <f t="shared" si="5"/>
        <v>0</v>
      </c>
      <c r="AD20" s="70"/>
      <c r="AE20" s="64"/>
      <c r="AG20" s="218">
        <f t="shared" si="6"/>
        <v>0</v>
      </c>
      <c r="AI20" s="64">
        <f t="shared" si="7"/>
        <v>0</v>
      </c>
      <c r="AK20" s="142">
        <f t="shared" si="8"/>
        <v>0</v>
      </c>
      <c r="AM20" s="142">
        <f t="shared" si="9"/>
        <v>0</v>
      </c>
    </row>
    <row r="21" spans="2:41" x14ac:dyDescent="0.25">
      <c r="B21" s="174" t="s">
        <v>26</v>
      </c>
      <c r="C21" s="153" t="s">
        <v>28</v>
      </c>
      <c r="D21" s="65"/>
      <c r="E21" s="75">
        <v>0</v>
      </c>
      <c r="F21" s="49">
        <v>1</v>
      </c>
      <c r="G21" s="50">
        <v>13750</v>
      </c>
      <c r="H21" s="51">
        <f t="shared" si="10"/>
        <v>1</v>
      </c>
      <c r="I21" s="177">
        <f t="shared" si="11"/>
        <v>13750</v>
      </c>
      <c r="J21" s="207"/>
      <c r="K21" s="241">
        <v>0</v>
      </c>
      <c r="L21" s="223">
        <v>7</v>
      </c>
      <c r="M21" s="206">
        <f>17160*7</f>
        <v>120120</v>
      </c>
      <c r="N21" s="195">
        <f t="shared" si="12"/>
        <v>7</v>
      </c>
      <c r="O21" s="196">
        <f t="shared" si="13"/>
        <v>120120</v>
      </c>
      <c r="P21" s="66"/>
      <c r="Q21" s="31">
        <v>0</v>
      </c>
      <c r="R21" s="67">
        <v>5</v>
      </c>
      <c r="S21" s="56">
        <f>17160+13750*3+13090</f>
        <v>71500</v>
      </c>
      <c r="T21" s="57">
        <f t="shared" si="14"/>
        <v>5</v>
      </c>
      <c r="U21" s="58">
        <f t="shared" si="15"/>
        <v>71500</v>
      </c>
      <c r="V21" s="68"/>
      <c r="W21" s="60">
        <v>0</v>
      </c>
      <c r="X21" s="69">
        <v>1</v>
      </c>
      <c r="Y21" s="62">
        <v>13750</v>
      </c>
      <c r="Z21" s="63">
        <f t="shared" si="16"/>
        <v>1</v>
      </c>
      <c r="AA21" s="41">
        <f t="shared" si="17"/>
        <v>13750</v>
      </c>
      <c r="AB21" s="152">
        <f t="shared" si="4"/>
        <v>14</v>
      </c>
      <c r="AC21" s="220">
        <f t="shared" si="5"/>
        <v>219120</v>
      </c>
      <c r="AD21" s="70"/>
      <c r="AE21" s="64"/>
      <c r="AG21" s="218">
        <f t="shared" si="6"/>
        <v>0</v>
      </c>
      <c r="AI21" s="151">
        <f t="shared" si="7"/>
        <v>219120</v>
      </c>
      <c r="AK21" s="142">
        <f t="shared" si="8"/>
        <v>14</v>
      </c>
      <c r="AM21" s="142">
        <f t="shared" si="9"/>
        <v>0</v>
      </c>
    </row>
    <row r="22" spans="2:41" ht="15.75" thickBot="1" x14ac:dyDescent="0.3">
      <c r="B22" s="176" t="s">
        <v>26</v>
      </c>
      <c r="C22" s="155" t="s">
        <v>29</v>
      </c>
      <c r="D22" s="77"/>
      <c r="E22" s="78">
        <v>0</v>
      </c>
      <c r="F22" s="79"/>
      <c r="G22" s="80"/>
      <c r="H22" s="81">
        <f t="shared" si="10"/>
        <v>0</v>
      </c>
      <c r="I22" s="239">
        <f t="shared" si="11"/>
        <v>0</v>
      </c>
      <c r="J22" s="242"/>
      <c r="K22" s="243">
        <v>0</v>
      </c>
      <c r="L22" s="225"/>
      <c r="M22" s="213"/>
      <c r="N22" s="197">
        <f t="shared" si="12"/>
        <v>0</v>
      </c>
      <c r="O22" s="198">
        <f t="shared" si="13"/>
        <v>0</v>
      </c>
      <c r="P22" s="83"/>
      <c r="Q22" s="84">
        <v>0</v>
      </c>
      <c r="R22" s="85">
        <v>4</v>
      </c>
      <c r="S22" s="86">
        <f>21410+7490*2+13180</f>
        <v>49570</v>
      </c>
      <c r="T22" s="87">
        <f t="shared" si="14"/>
        <v>4</v>
      </c>
      <c r="U22" s="88">
        <f t="shared" si="15"/>
        <v>49570</v>
      </c>
      <c r="V22" s="89"/>
      <c r="W22" s="60">
        <v>0</v>
      </c>
      <c r="X22" s="90">
        <v>1</v>
      </c>
      <c r="Y22" s="91">
        <v>28550</v>
      </c>
      <c r="Z22" s="92">
        <f t="shared" si="16"/>
        <v>1</v>
      </c>
      <c r="AA22" s="93">
        <f t="shared" si="17"/>
        <v>28550</v>
      </c>
      <c r="AB22" s="152">
        <f t="shared" si="4"/>
        <v>5</v>
      </c>
      <c r="AC22" s="220">
        <f t="shared" si="5"/>
        <v>78120</v>
      </c>
      <c r="AD22" s="70"/>
      <c r="AE22" s="94"/>
      <c r="AG22" s="219">
        <f t="shared" si="6"/>
        <v>0</v>
      </c>
      <c r="AI22" s="154">
        <f t="shared" si="7"/>
        <v>78120</v>
      </c>
      <c r="AK22" s="144">
        <f t="shared" si="8"/>
        <v>5</v>
      </c>
      <c r="AM22" s="144">
        <f t="shared" si="9"/>
        <v>0</v>
      </c>
    </row>
    <row r="23" spans="2:41" ht="15.75" thickBot="1" x14ac:dyDescent="0.3">
      <c r="D23" s="95">
        <f t="shared" ref="D23:I23" si="18">SUM(D8:D22)</f>
        <v>0</v>
      </c>
      <c r="E23" s="96">
        <f t="shared" si="18"/>
        <v>0</v>
      </c>
      <c r="F23" s="95">
        <f t="shared" si="18"/>
        <v>8</v>
      </c>
      <c r="G23" s="97">
        <f t="shared" si="18"/>
        <v>57990</v>
      </c>
      <c r="H23" s="98">
        <f t="shared" si="18"/>
        <v>8</v>
      </c>
      <c r="I23" s="99">
        <f t="shared" si="18"/>
        <v>57990</v>
      </c>
      <c r="J23" s="240">
        <f t="shared" ref="J23:O23" si="19">SUM(J8:J22)</f>
        <v>0</v>
      </c>
      <c r="K23" s="226">
        <f t="shared" si="19"/>
        <v>0</v>
      </c>
      <c r="L23" s="214">
        <f t="shared" si="19"/>
        <v>10</v>
      </c>
      <c r="M23" s="216">
        <f t="shared" si="19"/>
        <v>134024</v>
      </c>
      <c r="N23" s="217">
        <f t="shared" si="19"/>
        <v>10</v>
      </c>
      <c r="O23" s="99">
        <f t="shared" si="19"/>
        <v>134024</v>
      </c>
      <c r="P23" s="100">
        <f t="shared" ref="P23:AA23" si="20">SUM(P8:P22)</f>
        <v>0</v>
      </c>
      <c r="Q23" s="101">
        <f t="shared" si="20"/>
        <v>0</v>
      </c>
      <c r="R23" s="100">
        <f t="shared" si="20"/>
        <v>27</v>
      </c>
      <c r="S23" s="102">
        <f t="shared" si="20"/>
        <v>226298</v>
      </c>
      <c r="T23" s="287">
        <f t="shared" si="20"/>
        <v>27</v>
      </c>
      <c r="U23" s="286">
        <f t="shared" si="20"/>
        <v>226298</v>
      </c>
      <c r="V23" s="105">
        <f t="shared" si="20"/>
        <v>0</v>
      </c>
      <c r="W23" s="106">
        <f t="shared" si="20"/>
        <v>0</v>
      </c>
      <c r="X23" s="105">
        <f t="shared" si="20"/>
        <v>32</v>
      </c>
      <c r="Y23" s="107">
        <f t="shared" si="20"/>
        <v>223052</v>
      </c>
      <c r="Z23" s="108">
        <f t="shared" si="20"/>
        <v>32</v>
      </c>
      <c r="AA23" s="278">
        <f t="shared" si="20"/>
        <v>223052</v>
      </c>
      <c r="AB23" s="109" t="s">
        <v>9</v>
      </c>
      <c r="AC23" s="43">
        <f>SUM(AC8:AC22)</f>
        <v>641364</v>
      </c>
      <c r="AD23" s="70"/>
      <c r="AE23" s="1">
        <f>SUM(AE8:AE22)</f>
        <v>22436</v>
      </c>
      <c r="AI23" s="110"/>
      <c r="AK23" s="1">
        <f>SUM(AK8:AK22)</f>
        <v>77</v>
      </c>
      <c r="AM23" s="1">
        <f>SUM(AM8:AM22)</f>
        <v>0</v>
      </c>
      <c r="AO23" s="1">
        <f>+AK23+AM23</f>
        <v>77</v>
      </c>
    </row>
    <row r="24" spans="2:41" x14ac:dyDescent="0.25">
      <c r="G24" s="111"/>
      <c r="H24" s="111"/>
      <c r="I24" s="111"/>
      <c r="M24" s="111"/>
      <c r="N24" s="111"/>
      <c r="O24" s="111"/>
      <c r="P24" s="111"/>
      <c r="Q24" s="111"/>
      <c r="S24" s="111"/>
      <c r="T24" s="111"/>
      <c r="U24" s="111"/>
      <c r="V24" s="288">
        <f>X23+F23+R23+L23</f>
        <v>77</v>
      </c>
      <c r="W24" s="113">
        <f>G23+Y23+S23+M23</f>
        <v>641364</v>
      </c>
      <c r="X24" s="111"/>
      <c r="Y24" s="111"/>
      <c r="Z24" s="111"/>
      <c r="AA24" s="111"/>
      <c r="AB24" s="2"/>
      <c r="AC24" s="70">
        <f>AA23+U23+I23+O23</f>
        <v>641364</v>
      </c>
      <c r="AD24" s="2"/>
    </row>
    <row r="25" spans="2:41" x14ac:dyDescent="0.25">
      <c r="D25" s="114" t="s">
        <v>30</v>
      </c>
      <c r="E25" s="114"/>
      <c r="G25" s="114"/>
      <c r="H25" s="114"/>
      <c r="I25" s="114"/>
      <c r="J25" s="114" t="s">
        <v>30</v>
      </c>
      <c r="K25" s="114"/>
      <c r="M25" s="114"/>
      <c r="N25" s="114"/>
      <c r="O25" s="114"/>
      <c r="P25" s="114"/>
      <c r="Q25" s="114"/>
      <c r="R25" s="114"/>
      <c r="S25" s="114"/>
      <c r="T25" s="114"/>
      <c r="U25" s="114"/>
      <c r="AA25" s="2"/>
      <c r="AB25" s="2"/>
      <c r="AC25" s="2"/>
      <c r="AD25" s="2"/>
    </row>
    <row r="26" spans="2:41" x14ac:dyDescent="0.25">
      <c r="D26" s="114"/>
      <c r="E26" s="114"/>
      <c r="J26" s="114"/>
      <c r="K26" s="114"/>
      <c r="P26" s="1"/>
      <c r="Q26" s="1"/>
      <c r="R26" s="1"/>
      <c r="S26" s="1"/>
      <c r="T26" s="1"/>
      <c r="U26" s="1"/>
      <c r="AA26" s="2"/>
      <c r="AB26" s="2"/>
      <c r="AC26" s="2"/>
      <c r="AD26" s="2"/>
    </row>
    <row r="27" spans="2:41" x14ac:dyDescent="0.25">
      <c r="C27" s="115">
        <v>20000</v>
      </c>
      <c r="D27" s="115"/>
      <c r="E27" s="115"/>
      <c r="F27" s="116"/>
      <c r="G27" s="117"/>
      <c r="H27" s="118"/>
      <c r="I27" s="119">
        <v>40000</v>
      </c>
      <c r="J27" s="115"/>
      <c r="K27" s="115"/>
      <c r="L27" s="116"/>
      <c r="M27" s="117"/>
      <c r="N27" s="118"/>
      <c r="O27" s="119">
        <v>0</v>
      </c>
      <c r="P27" s="119"/>
      <c r="Q27" s="119"/>
      <c r="R27" s="119"/>
      <c r="S27" s="119"/>
      <c r="T27" s="119"/>
      <c r="U27" s="119">
        <v>40000</v>
      </c>
      <c r="V27" s="119"/>
      <c r="W27" s="119"/>
      <c r="X27" s="120"/>
      <c r="Y27" s="121"/>
      <c r="Z27" s="120"/>
      <c r="AA27" s="119">
        <v>0</v>
      </c>
      <c r="AB27" s="122"/>
      <c r="AC27" s="122"/>
      <c r="AD27" s="2"/>
      <c r="AE27" s="2"/>
      <c r="AF27" s="2"/>
    </row>
    <row r="28" spans="2:41" x14ac:dyDescent="0.25">
      <c r="C28" s="115">
        <v>10000</v>
      </c>
      <c r="D28" s="115"/>
      <c r="E28" s="115"/>
      <c r="F28" s="116"/>
      <c r="G28" s="117"/>
      <c r="H28" s="118"/>
      <c r="I28" s="119">
        <v>10000</v>
      </c>
      <c r="J28" s="115"/>
      <c r="K28" s="115"/>
      <c r="L28" s="116"/>
      <c r="M28" s="117"/>
      <c r="N28" s="118"/>
      <c r="O28" s="119">
        <v>130000</v>
      </c>
      <c r="P28" s="119"/>
      <c r="Q28" s="119"/>
      <c r="R28" s="119"/>
      <c r="S28" s="119"/>
      <c r="T28" s="119"/>
      <c r="U28" s="119">
        <v>20000</v>
      </c>
      <c r="V28" s="119"/>
      <c r="W28" s="119"/>
      <c r="X28" s="120"/>
      <c r="Y28" s="122"/>
      <c r="Z28" s="120"/>
      <c r="AA28" s="119">
        <v>80000</v>
      </c>
      <c r="AB28" s="122"/>
      <c r="AC28" s="122"/>
      <c r="AD28" s="2"/>
      <c r="AE28" s="2"/>
      <c r="AF28" s="2"/>
    </row>
    <row r="29" spans="2:41" x14ac:dyDescent="0.25">
      <c r="C29" s="115">
        <v>5000</v>
      </c>
      <c r="D29" s="115"/>
      <c r="E29" s="115"/>
      <c r="F29" s="116"/>
      <c r="G29" s="117"/>
      <c r="H29" s="118"/>
      <c r="I29" s="119">
        <v>5000</v>
      </c>
      <c r="J29" s="115"/>
      <c r="K29" s="115"/>
      <c r="L29" s="116"/>
      <c r="M29" s="117"/>
      <c r="N29" s="118"/>
      <c r="O29" s="119">
        <v>0</v>
      </c>
      <c r="P29" s="119"/>
      <c r="Q29" s="119"/>
      <c r="R29" s="119"/>
      <c r="S29" s="119"/>
      <c r="T29" s="119"/>
      <c r="U29" s="119">
        <v>0</v>
      </c>
      <c r="V29" s="119"/>
      <c r="W29" s="119"/>
      <c r="X29" s="120"/>
      <c r="Y29" s="121"/>
      <c r="Z29" s="120"/>
      <c r="AA29" s="119">
        <v>5000</v>
      </c>
      <c r="AB29" s="122"/>
      <c r="AC29" s="122"/>
      <c r="AD29" s="2"/>
      <c r="AE29" s="2"/>
      <c r="AF29" s="2"/>
    </row>
    <row r="30" spans="2:41" x14ac:dyDescent="0.25">
      <c r="C30" s="115">
        <v>2000</v>
      </c>
      <c r="D30" s="115"/>
      <c r="E30" s="115"/>
      <c r="F30" s="116"/>
      <c r="G30" s="117"/>
      <c r="H30" s="118"/>
      <c r="I30" s="119">
        <v>2000</v>
      </c>
      <c r="J30" s="115"/>
      <c r="K30" s="115"/>
      <c r="L30" s="116"/>
      <c r="M30" s="117"/>
      <c r="N30" s="118"/>
      <c r="O30" s="119">
        <v>0</v>
      </c>
      <c r="P30" s="119"/>
      <c r="Q30" s="119"/>
      <c r="R30" s="119"/>
      <c r="S30" s="119"/>
      <c r="T30" s="119"/>
      <c r="U30" s="119">
        <v>0</v>
      </c>
      <c r="V30" s="119"/>
      <c r="W30" s="119"/>
      <c r="X30" s="120"/>
      <c r="Y30" s="121"/>
      <c r="Z30" s="120"/>
      <c r="AA30" s="119">
        <v>0</v>
      </c>
      <c r="AB30" s="122"/>
      <c r="AC30" s="122"/>
      <c r="AD30" s="123"/>
    </row>
    <row r="31" spans="2:41" x14ac:dyDescent="0.25">
      <c r="C31" s="115">
        <v>1000</v>
      </c>
      <c r="D31" s="115"/>
      <c r="E31" s="115"/>
      <c r="F31" s="116"/>
      <c r="G31" s="117"/>
      <c r="H31" s="118"/>
      <c r="I31" s="124">
        <v>1000</v>
      </c>
      <c r="J31" s="115"/>
      <c r="K31" s="115"/>
      <c r="L31" s="116"/>
      <c r="M31" s="117"/>
      <c r="N31" s="118"/>
      <c r="O31" s="124">
        <v>4000</v>
      </c>
      <c r="P31" s="124"/>
      <c r="Q31" s="124"/>
      <c r="R31" s="124"/>
      <c r="S31" s="124"/>
      <c r="T31" s="124"/>
      <c r="U31" s="124">
        <v>0</v>
      </c>
      <c r="V31" s="124"/>
      <c r="W31" s="124"/>
      <c r="X31" s="120"/>
      <c r="Y31" s="121"/>
      <c r="Z31" s="120"/>
      <c r="AA31" s="124">
        <v>8000</v>
      </c>
      <c r="AB31" s="122"/>
      <c r="AC31" s="122"/>
      <c r="AD31" s="2"/>
    </row>
    <row r="32" spans="2:41" x14ac:dyDescent="0.25">
      <c r="C32" s="115">
        <v>500</v>
      </c>
      <c r="D32" s="115"/>
      <c r="E32" s="115"/>
      <c r="F32" s="116"/>
      <c r="G32" s="117"/>
      <c r="H32" s="118"/>
      <c r="I32" s="119">
        <v>0</v>
      </c>
      <c r="J32" s="115"/>
      <c r="K32" s="115"/>
      <c r="L32" s="116"/>
      <c r="M32" s="117"/>
      <c r="N32" s="118"/>
      <c r="O32" s="119">
        <v>0</v>
      </c>
      <c r="P32" s="119"/>
      <c r="Q32" s="119"/>
      <c r="R32" s="119"/>
      <c r="S32" s="119"/>
      <c r="T32" s="119"/>
      <c r="U32" s="119">
        <v>500</v>
      </c>
      <c r="V32" s="119"/>
      <c r="W32" s="119"/>
      <c r="X32" s="120"/>
      <c r="Y32" s="121"/>
      <c r="Z32" s="120"/>
      <c r="AA32" s="119">
        <v>500</v>
      </c>
      <c r="AB32" s="121"/>
      <c r="AC32" s="121"/>
      <c r="AD32" s="2"/>
    </row>
    <row r="33" spans="2:33" x14ac:dyDescent="0.25">
      <c r="C33" s="115">
        <v>100</v>
      </c>
      <c r="D33" s="115"/>
      <c r="E33" s="115"/>
      <c r="F33" s="116"/>
      <c r="G33" s="117"/>
      <c r="H33" s="118"/>
      <c r="I33" s="119">
        <v>0</v>
      </c>
      <c r="J33" s="115"/>
      <c r="K33" s="115"/>
      <c r="L33" s="116"/>
      <c r="M33" s="117"/>
      <c r="N33" s="118"/>
      <c r="O33" s="119">
        <v>0</v>
      </c>
      <c r="P33" s="119"/>
      <c r="Q33" s="119"/>
      <c r="R33" s="119"/>
      <c r="S33" s="119"/>
      <c r="T33" s="119"/>
      <c r="U33" s="119">
        <v>0</v>
      </c>
      <c r="V33" s="119"/>
      <c r="W33" s="119"/>
      <c r="X33" s="120"/>
      <c r="Y33" s="121"/>
      <c r="Z33" s="120"/>
      <c r="AA33" s="119">
        <v>100</v>
      </c>
      <c r="AB33" s="121"/>
      <c r="AC33" s="121"/>
      <c r="AD33" s="2"/>
    </row>
    <row r="34" spans="2:33" x14ac:dyDescent="0.25">
      <c r="C34" s="115">
        <v>50</v>
      </c>
      <c r="D34" s="115"/>
      <c r="E34" s="115"/>
      <c r="F34" s="116"/>
      <c r="G34" s="117"/>
      <c r="H34" s="118"/>
      <c r="I34" s="119">
        <v>0</v>
      </c>
      <c r="J34" s="115"/>
      <c r="K34" s="115"/>
      <c r="L34" s="116"/>
      <c r="M34" s="117"/>
      <c r="N34" s="118"/>
      <c r="O34" s="119">
        <v>0</v>
      </c>
      <c r="P34" s="119"/>
      <c r="Q34" s="119"/>
      <c r="R34" s="119"/>
      <c r="S34" s="119"/>
      <c r="T34" s="119"/>
      <c r="U34" s="119">
        <v>0</v>
      </c>
      <c r="V34" s="119"/>
      <c r="W34" s="119"/>
      <c r="X34" s="120"/>
      <c r="Y34" s="121"/>
      <c r="Z34" s="120"/>
      <c r="AA34" s="119">
        <v>0</v>
      </c>
      <c r="AB34" s="121"/>
      <c r="AC34" s="121"/>
      <c r="AD34" s="2"/>
    </row>
    <row r="35" spans="2:33" x14ac:dyDescent="0.25">
      <c r="C35" s="115">
        <v>10</v>
      </c>
      <c r="D35" s="115"/>
      <c r="E35" s="115"/>
      <c r="F35" s="116"/>
      <c r="G35" s="117"/>
      <c r="H35" s="118"/>
      <c r="I35" s="119">
        <v>0</v>
      </c>
      <c r="J35" s="115"/>
      <c r="K35" s="115"/>
      <c r="L35" s="116"/>
      <c r="M35" s="117"/>
      <c r="N35" s="118"/>
      <c r="O35" s="119">
        <v>20</v>
      </c>
      <c r="P35" s="119"/>
      <c r="Q35" s="119"/>
      <c r="R35" s="119"/>
      <c r="S35" s="119"/>
      <c r="T35" s="119"/>
      <c r="U35" s="119">
        <v>10</v>
      </c>
      <c r="V35" s="119"/>
      <c r="W35" s="119"/>
      <c r="X35" s="120"/>
      <c r="Y35" s="121"/>
      <c r="Z35" s="120"/>
      <c r="AA35" s="119">
        <v>20</v>
      </c>
      <c r="AB35" s="121"/>
      <c r="AC35" s="121"/>
      <c r="AD35" s="2"/>
      <c r="AG35" s="1" t="s">
        <v>25</v>
      </c>
    </row>
    <row r="36" spans="2:33" x14ac:dyDescent="0.25">
      <c r="C36" s="1" t="s">
        <v>32</v>
      </c>
      <c r="E36" s="131"/>
      <c r="G36" s="125"/>
      <c r="H36" s="118"/>
      <c r="I36" s="124">
        <v>-10</v>
      </c>
      <c r="K36" s="131"/>
      <c r="M36" s="125"/>
      <c r="N36" s="118"/>
      <c r="O36" s="124">
        <v>4</v>
      </c>
      <c r="P36" s="124"/>
      <c r="Q36" s="124"/>
      <c r="R36" s="124"/>
      <c r="S36" s="124"/>
      <c r="T36" s="124"/>
      <c r="U36" s="124">
        <f>38120+127664+4</f>
        <v>165788</v>
      </c>
      <c r="V36" s="124"/>
      <c r="W36" s="124"/>
      <c r="X36" s="120"/>
      <c r="Y36" s="124"/>
      <c r="Z36" s="120"/>
      <c r="AA36" s="124">
        <f>40000+89430+2</f>
        <v>129432</v>
      </c>
      <c r="AB36" s="124"/>
      <c r="AC36" s="124"/>
      <c r="AD36" s="2"/>
    </row>
    <row r="37" spans="2:33" s="114" customFormat="1" ht="15.75" x14ac:dyDescent="0.25">
      <c r="F37" s="126"/>
      <c r="G37" s="127"/>
      <c r="I37" s="128">
        <f>SUM(I27:I36)</f>
        <v>57990</v>
      </c>
      <c r="L37" s="126"/>
      <c r="M37" s="127"/>
      <c r="O37" s="128">
        <f>SUM(O27:O36)</f>
        <v>134024</v>
      </c>
      <c r="P37" s="116"/>
      <c r="Q37" s="116"/>
      <c r="R37" s="116"/>
      <c r="S37" s="116"/>
      <c r="T37" s="116"/>
      <c r="U37" s="128">
        <f>SUM(U27:U36)</f>
        <v>226298</v>
      </c>
      <c r="V37" s="116"/>
      <c r="W37" s="116"/>
      <c r="X37" s="123"/>
      <c r="Y37" s="116"/>
      <c r="Z37" s="123"/>
      <c r="AA37" s="128">
        <f>SUM(AA27:AA36)</f>
        <v>223052</v>
      </c>
      <c r="AB37" s="129"/>
      <c r="AC37" s="125">
        <f>+I37+U37+AA37+O37</f>
        <v>641364</v>
      </c>
    </row>
    <row r="38" spans="2:33" x14ac:dyDescent="0.25">
      <c r="B38" s="2"/>
      <c r="C38" s="2"/>
      <c r="D38" s="2"/>
      <c r="E38" s="70"/>
      <c r="F38" s="2"/>
      <c r="G38" s="2"/>
      <c r="H38" s="2"/>
      <c r="I38" s="2"/>
      <c r="J38" s="2"/>
      <c r="K38" s="70"/>
      <c r="L38" s="2"/>
      <c r="M38" s="2"/>
      <c r="N38" s="2"/>
      <c r="O38" s="2"/>
      <c r="X38" s="70"/>
      <c r="AA38" s="2"/>
      <c r="AB38" s="130"/>
      <c r="AC38" s="131">
        <f>AC37-AC24</f>
        <v>0</v>
      </c>
    </row>
    <row r="39" spans="2:33" x14ac:dyDescent="0.25">
      <c r="B39" s="2"/>
      <c r="C39" s="2"/>
      <c r="D39" s="2"/>
      <c r="E39" s="70"/>
      <c r="F39" s="2"/>
      <c r="G39" s="2"/>
      <c r="H39" s="2"/>
      <c r="I39" s="129"/>
      <c r="J39" s="2"/>
      <c r="K39" s="70"/>
      <c r="L39" s="2"/>
      <c r="M39" s="2"/>
      <c r="N39" s="2"/>
      <c r="O39" s="129"/>
      <c r="X39" s="70"/>
      <c r="AA39" s="2"/>
      <c r="AB39" s="130"/>
      <c r="AC39" s="131"/>
    </row>
    <row r="40" spans="2:33" x14ac:dyDescent="0.25">
      <c r="E40" s="374"/>
      <c r="F40" s="375"/>
      <c r="G40" s="375"/>
      <c r="H40" s="375"/>
      <c r="I40" s="375"/>
      <c r="J40" s="375"/>
      <c r="K40" s="375"/>
      <c r="L40" s="375"/>
      <c r="M40" s="375"/>
      <c r="N40" s="375"/>
      <c r="O40" s="375"/>
      <c r="P40" s="375"/>
      <c r="Q40" s="375"/>
      <c r="R40" s="375"/>
      <c r="S40" s="375"/>
      <c r="T40" s="375"/>
      <c r="U40" s="375"/>
      <c r="V40" s="375"/>
      <c r="W40" s="375"/>
      <c r="X40" s="375"/>
      <c r="Y40" s="167"/>
      <c r="Z40" s="1" t="s">
        <v>25</v>
      </c>
    </row>
    <row r="41" spans="2:33" x14ac:dyDescent="0.25">
      <c r="S41" s="129"/>
      <c r="T41" s="129"/>
      <c r="U41" s="129"/>
      <c r="W41" s="130"/>
    </row>
    <row r="42" spans="2:33" x14ac:dyDescent="0.25">
      <c r="S42" s="129"/>
      <c r="T42" s="129"/>
      <c r="U42" s="129"/>
      <c r="W42" s="130"/>
    </row>
    <row r="43" spans="2:33" x14ac:dyDescent="0.25">
      <c r="S43" s="129"/>
      <c r="T43" s="129"/>
      <c r="U43" s="129"/>
      <c r="W43" s="130"/>
    </row>
    <row r="45" spans="2:33" x14ac:dyDescent="0.25">
      <c r="E45" s="114"/>
    </row>
  </sheetData>
  <mergeCells count="12">
    <mergeCell ref="E40:X40"/>
    <mergeCell ref="B6:B7"/>
    <mergeCell ref="C6:C7"/>
    <mergeCell ref="D6:I6"/>
    <mergeCell ref="J6:O6"/>
    <mergeCell ref="P6:U6"/>
    <mergeCell ref="V6:AA6"/>
    <mergeCell ref="AB6:AB7"/>
    <mergeCell ref="AC6:AC7"/>
    <mergeCell ref="AE6:AE7"/>
    <mergeCell ref="Q3:T3"/>
    <mergeCell ref="C4:D4"/>
  </mergeCells>
  <pageMargins left="0" right="0" top="0" bottom="0" header="0" footer="0"/>
  <pageSetup paperSize="9" scale="52" orientation="landscape" horizontalDpi="0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pageSetUpPr fitToPage="1"/>
  </sheetPr>
  <dimension ref="A1:AO41"/>
  <sheetViews>
    <sheetView workbookViewId="0">
      <pane xSplit="3" topLeftCell="P1" activePane="topRight" state="frozen"/>
      <selection pane="topRight" activeCell="AE39" sqref="B2:AE39"/>
    </sheetView>
  </sheetViews>
  <sheetFormatPr baseColWidth="10" defaultRowHeight="15" x14ac:dyDescent="0.25"/>
  <cols>
    <col min="1" max="1" width="1.7109375" style="1" customWidth="1"/>
    <col min="2" max="2" width="10" style="1" customWidth="1"/>
    <col min="3" max="3" width="29.140625" style="1" customWidth="1"/>
    <col min="4" max="4" width="5.7109375" style="1" hidden="1" customWidth="1"/>
    <col min="5" max="5" width="10.7109375" style="1" hidden="1" customWidth="1"/>
    <col min="6" max="6" width="5.7109375" style="1" hidden="1" customWidth="1"/>
    <col min="7" max="7" width="10.7109375" style="1" hidden="1" customWidth="1"/>
    <col min="8" max="8" width="5.7109375" style="1" hidden="1" customWidth="1"/>
    <col min="9" max="9" width="10.7109375" style="1" hidden="1" customWidth="1"/>
    <col min="10" max="10" width="5.7109375" style="1" hidden="1" customWidth="1"/>
    <col min="11" max="11" width="10.7109375" style="1" hidden="1" customWidth="1"/>
    <col min="12" max="12" width="5.7109375" style="1" hidden="1" customWidth="1"/>
    <col min="13" max="13" width="10.7109375" style="1" hidden="1" customWidth="1"/>
    <col min="14" max="14" width="5.7109375" style="1" hidden="1" customWidth="1"/>
    <col min="15" max="15" width="10.7109375" style="1" hidden="1" customWidth="1"/>
    <col min="16" max="16" width="5.7109375" style="2" customWidth="1"/>
    <col min="17" max="17" width="10.7109375" style="2" customWidth="1"/>
    <col min="18" max="18" width="5.7109375" style="2" customWidth="1"/>
    <col min="19" max="19" width="10.7109375" style="2" customWidth="1"/>
    <col min="20" max="20" width="5.7109375" style="2" customWidth="1"/>
    <col min="21" max="21" width="10.7109375" style="2" customWidth="1"/>
    <col min="22" max="22" width="5.7109375" style="2" hidden="1" customWidth="1"/>
    <col min="23" max="23" width="10.7109375" style="2" hidden="1" customWidth="1"/>
    <col min="24" max="24" width="5.7109375" style="2" hidden="1" customWidth="1"/>
    <col min="25" max="25" width="10.7109375" style="2" hidden="1" customWidth="1"/>
    <col min="26" max="26" width="5.7109375" style="2" hidden="1" customWidth="1"/>
    <col min="27" max="27" width="10.7109375" style="1" hidden="1" customWidth="1"/>
    <col min="28" max="28" width="9.5703125" style="1" customWidth="1"/>
    <col min="29" max="29" width="14.5703125" style="1" bestFit="1" customWidth="1"/>
    <col min="30" max="30" width="3.28515625" style="1" customWidth="1"/>
    <col min="31" max="31" width="11.42578125" style="1"/>
    <col min="32" max="32" width="3.7109375" style="1" customWidth="1"/>
    <col min="33" max="33" width="10.140625" style="1" customWidth="1"/>
    <col min="34" max="34" width="3.7109375" style="1" customWidth="1"/>
    <col min="35" max="35" width="11.42578125" style="1"/>
    <col min="36" max="36" width="3.7109375" style="1" customWidth="1"/>
    <col min="37" max="37" width="5.7109375" style="1" customWidth="1"/>
    <col min="38" max="38" width="3.7109375" style="1" customWidth="1"/>
    <col min="39" max="39" width="5.7109375" style="1" customWidth="1"/>
    <col min="40" max="40" width="3.7109375" style="1" customWidth="1"/>
    <col min="41" max="41" width="5.7109375" style="1" customWidth="1"/>
    <col min="42" max="16384" width="11.42578125" style="1"/>
  </cols>
  <sheetData>
    <row r="1" spans="1:39" ht="5.25" customHeight="1" x14ac:dyDescent="0.25">
      <c r="Y1" s="1"/>
      <c r="Z1" s="1"/>
    </row>
    <row r="2" spans="1:39" ht="21" x14ac:dyDescent="0.35">
      <c r="B2" s="3" t="s">
        <v>0</v>
      </c>
      <c r="P2" s="1"/>
      <c r="Q2" s="4"/>
      <c r="Z2" s="1"/>
    </row>
    <row r="3" spans="1:39" ht="15" customHeight="1" x14ac:dyDescent="0.25">
      <c r="A3" s="5"/>
      <c r="B3" s="6" t="s">
        <v>1</v>
      </c>
      <c r="C3" s="7"/>
      <c r="D3" s="7"/>
      <c r="E3" s="7"/>
      <c r="F3" s="7"/>
      <c r="P3" s="1"/>
      <c r="Q3" s="353"/>
      <c r="R3" s="353"/>
      <c r="S3" s="353"/>
      <c r="T3" s="353"/>
      <c r="U3" s="149"/>
      <c r="V3" s="149"/>
      <c r="Z3" s="1"/>
    </row>
    <row r="4" spans="1:39" ht="18" customHeight="1" x14ac:dyDescent="0.25">
      <c r="B4" s="150" t="s">
        <v>2</v>
      </c>
      <c r="C4" s="354" t="s">
        <v>53</v>
      </c>
      <c r="D4" s="355"/>
      <c r="E4" s="150"/>
      <c r="F4" s="150"/>
      <c r="P4" s="1"/>
      <c r="Q4" s="9"/>
      <c r="R4" s="10"/>
      <c r="S4" s="9"/>
      <c r="T4" s="9"/>
      <c r="U4" s="9"/>
      <c r="V4" s="9"/>
      <c r="Z4" s="1"/>
    </row>
    <row r="5" spans="1:39" ht="15.75" thickBot="1" x14ac:dyDescent="0.3">
      <c r="A5" s="150"/>
      <c r="B5" s="150"/>
      <c r="C5" s="150"/>
      <c r="D5" s="189"/>
      <c r="E5" s="189"/>
      <c r="J5" s="189"/>
      <c r="K5" s="189"/>
      <c r="P5" s="1"/>
      <c r="Q5" s="1"/>
      <c r="R5" s="1"/>
      <c r="S5" s="1"/>
      <c r="T5" s="1"/>
      <c r="U5" s="1"/>
      <c r="V5" s="9"/>
      <c r="W5" s="9"/>
      <c r="X5" s="9"/>
      <c r="Y5" s="9"/>
      <c r="Z5" s="9"/>
      <c r="AA5" s="9"/>
      <c r="AB5" s="2"/>
      <c r="AC5" s="2"/>
      <c r="AD5" s="2"/>
    </row>
    <row r="6" spans="1:39" ht="27.75" customHeight="1" thickBot="1" x14ac:dyDescent="0.3">
      <c r="B6" s="356" t="s">
        <v>3</v>
      </c>
      <c r="C6" s="343" t="s">
        <v>4</v>
      </c>
      <c r="D6" s="358" t="s">
        <v>36</v>
      </c>
      <c r="E6" s="359"/>
      <c r="F6" s="360"/>
      <c r="G6" s="360"/>
      <c r="H6" s="360"/>
      <c r="I6" s="361"/>
      <c r="J6" s="370" t="s">
        <v>47</v>
      </c>
      <c r="K6" s="371"/>
      <c r="L6" s="372"/>
      <c r="M6" s="372"/>
      <c r="N6" s="372"/>
      <c r="O6" s="373"/>
      <c r="P6" s="362" t="s">
        <v>47</v>
      </c>
      <c r="Q6" s="363"/>
      <c r="R6" s="364"/>
      <c r="S6" s="364"/>
      <c r="T6" s="364"/>
      <c r="U6" s="365"/>
      <c r="V6" s="366" t="s">
        <v>31</v>
      </c>
      <c r="W6" s="367"/>
      <c r="X6" s="368"/>
      <c r="Y6" s="368"/>
      <c r="Z6" s="368"/>
      <c r="AA6" s="369"/>
      <c r="AB6" s="349" t="s">
        <v>5</v>
      </c>
      <c r="AC6" s="349" t="s">
        <v>6</v>
      </c>
      <c r="AD6" s="2"/>
      <c r="AE6" s="351" t="s">
        <v>7</v>
      </c>
      <c r="AF6" s="2"/>
    </row>
    <row r="7" spans="1:39" ht="25.5" customHeight="1" thickBot="1" x14ac:dyDescent="0.3">
      <c r="B7" s="357"/>
      <c r="C7" s="344"/>
      <c r="D7" s="11" t="s">
        <v>8</v>
      </c>
      <c r="E7" s="14" t="s">
        <v>9</v>
      </c>
      <c r="F7" s="13" t="s">
        <v>8</v>
      </c>
      <c r="G7" s="14" t="s">
        <v>9</v>
      </c>
      <c r="H7" s="11" t="s">
        <v>5</v>
      </c>
      <c r="I7" s="14" t="s">
        <v>10</v>
      </c>
      <c r="J7" s="190" t="s">
        <v>8</v>
      </c>
      <c r="K7" s="192" t="s">
        <v>9</v>
      </c>
      <c r="L7" s="191" t="s">
        <v>8</v>
      </c>
      <c r="M7" s="192" t="s">
        <v>9</v>
      </c>
      <c r="N7" s="190" t="s">
        <v>5</v>
      </c>
      <c r="O7" s="192" t="s">
        <v>10</v>
      </c>
      <c r="P7" s="15" t="s">
        <v>8</v>
      </c>
      <c r="Q7" s="16" t="s">
        <v>9</v>
      </c>
      <c r="R7" s="17" t="s">
        <v>8</v>
      </c>
      <c r="S7" s="16" t="s">
        <v>9</v>
      </c>
      <c r="T7" s="15" t="s">
        <v>5</v>
      </c>
      <c r="U7" s="16" t="s">
        <v>10</v>
      </c>
      <c r="V7" s="18" t="s">
        <v>8</v>
      </c>
      <c r="W7" s="19" t="s">
        <v>9</v>
      </c>
      <c r="X7" s="20" t="s">
        <v>8</v>
      </c>
      <c r="Y7" s="21" t="s">
        <v>9</v>
      </c>
      <c r="Z7" s="18" t="s">
        <v>5</v>
      </c>
      <c r="AA7" s="21" t="s">
        <v>10</v>
      </c>
      <c r="AB7" s="350"/>
      <c r="AC7" s="350"/>
      <c r="AD7" s="2"/>
      <c r="AE7" s="352"/>
      <c r="AG7" s="22" t="s">
        <v>11</v>
      </c>
      <c r="AI7" s="22" t="s">
        <v>12</v>
      </c>
    </row>
    <row r="8" spans="1:39" x14ac:dyDescent="0.25">
      <c r="B8" s="173">
        <v>6320</v>
      </c>
      <c r="C8" s="23" t="s">
        <v>13</v>
      </c>
      <c r="D8" s="24"/>
      <c r="E8" s="25">
        <f>+D8*B8</f>
        <v>0</v>
      </c>
      <c r="F8" s="26"/>
      <c r="G8" s="27"/>
      <c r="H8" s="28">
        <f>D8+F8</f>
        <v>0</v>
      </c>
      <c r="I8" s="29">
        <f>E8+G8</f>
        <v>0</v>
      </c>
      <c r="J8" s="199"/>
      <c r="K8" s="204">
        <f>+J8*B8</f>
        <v>0</v>
      </c>
      <c r="L8" s="201"/>
      <c r="M8" s="202"/>
      <c r="N8" s="193">
        <f>J8+L8</f>
        <v>0</v>
      </c>
      <c r="O8" s="194">
        <f>K8+M8</f>
        <v>0</v>
      </c>
      <c r="P8" s="30"/>
      <c r="Q8" s="178">
        <f>+P8*B8</f>
        <v>0</v>
      </c>
      <c r="R8" s="232"/>
      <c r="S8" s="33"/>
      <c r="T8" s="34">
        <f>P8+R8</f>
        <v>0</v>
      </c>
      <c r="U8" s="35">
        <f>Q8+S8</f>
        <v>0</v>
      </c>
      <c r="V8" s="36"/>
      <c r="W8" s="37">
        <f t="shared" ref="W8:W19" si="0">+V8*B8</f>
        <v>0</v>
      </c>
      <c r="X8" s="38"/>
      <c r="Y8" s="39"/>
      <c r="Z8" s="40">
        <f>V8+X8</f>
        <v>0</v>
      </c>
      <c r="AA8" s="41">
        <f>Y8+W8</f>
        <v>0</v>
      </c>
      <c r="AB8" s="42">
        <f>+D8+F8+P8+R8+V8+X8+L8+J8</f>
        <v>0</v>
      </c>
      <c r="AC8" s="188">
        <f>+E8+G8+Q8+S8+W8+Y8+K8+M8</f>
        <v>0</v>
      </c>
      <c r="AD8" s="44"/>
      <c r="AE8" s="45"/>
      <c r="AG8" s="187">
        <f>E8+W8+Q8+K8</f>
        <v>0</v>
      </c>
      <c r="AI8" s="45">
        <f>G8+Y8+S8+M8</f>
        <v>0</v>
      </c>
      <c r="AK8" s="139">
        <f>F8+R8+X8+L8</f>
        <v>0</v>
      </c>
      <c r="AM8" s="139">
        <f>+D8+P8+V8+J8</f>
        <v>0</v>
      </c>
    </row>
    <row r="9" spans="1:39" x14ac:dyDescent="0.25">
      <c r="B9" s="174">
        <v>6320</v>
      </c>
      <c r="C9" s="153" t="s">
        <v>14</v>
      </c>
      <c r="D9" s="47"/>
      <c r="E9" s="48">
        <f t="shared" ref="E9:E19" si="1">+D9*B9</f>
        <v>0</v>
      </c>
      <c r="F9" s="49"/>
      <c r="G9" s="50"/>
      <c r="H9" s="51">
        <f>D9+F9</f>
        <v>0</v>
      </c>
      <c r="I9" s="52">
        <f>G9+E9</f>
        <v>0</v>
      </c>
      <c r="J9" s="203"/>
      <c r="K9" s="209">
        <f t="shared" ref="K9:K19" si="2">+J9*B9</f>
        <v>0</v>
      </c>
      <c r="L9" s="205"/>
      <c r="M9" s="206"/>
      <c r="N9" s="195">
        <f>J9+L9</f>
        <v>0</v>
      </c>
      <c r="O9" s="196">
        <f>M9+K9</f>
        <v>0</v>
      </c>
      <c r="P9" s="53"/>
      <c r="Q9" s="179">
        <f t="shared" ref="Q9:Q19" si="3">+P9*B9</f>
        <v>0</v>
      </c>
      <c r="R9" s="233">
        <v>5</v>
      </c>
      <c r="S9" s="56">
        <f>6320*5</f>
        <v>31600</v>
      </c>
      <c r="T9" s="57">
        <f>P9+R9</f>
        <v>5</v>
      </c>
      <c r="U9" s="58">
        <f>S9+Q9</f>
        <v>31600</v>
      </c>
      <c r="V9" s="59"/>
      <c r="W9" s="60">
        <f t="shared" si="0"/>
        <v>0</v>
      </c>
      <c r="X9" s="61"/>
      <c r="Y9" s="62"/>
      <c r="Z9" s="63">
        <f>V9+X9</f>
        <v>0</v>
      </c>
      <c r="AA9" s="41">
        <f>Y9+W9</f>
        <v>0</v>
      </c>
      <c r="AB9" s="152">
        <f t="shared" ref="AB9:AB22" si="4">+D9+F9+P9+R9+V9+X9+L9+J9</f>
        <v>5</v>
      </c>
      <c r="AC9" s="220">
        <f t="shared" ref="AC9:AC22" si="5">+E9+G9+Q9+S9+W9+Y9+K9+M9</f>
        <v>31600</v>
      </c>
      <c r="AD9" s="44"/>
      <c r="AE9" s="64"/>
      <c r="AG9" s="218">
        <f t="shared" ref="AG9:AG22" si="6">E9+W9+Q9+K9</f>
        <v>0</v>
      </c>
      <c r="AI9" s="151">
        <f t="shared" ref="AI9:AI22" si="7">G9+Y9+S9+M9</f>
        <v>31600</v>
      </c>
      <c r="AK9" s="142">
        <f t="shared" ref="AK9:AK22" si="8">F9+R9+X9+L9</f>
        <v>5</v>
      </c>
      <c r="AM9" s="142">
        <f t="shared" ref="AM9:AM22" si="9">+D9+P9+V9+J9</f>
        <v>0</v>
      </c>
    </row>
    <row r="10" spans="1:39" x14ac:dyDescent="0.25">
      <c r="B10" s="174">
        <v>6320</v>
      </c>
      <c r="C10" s="46" t="s">
        <v>16</v>
      </c>
      <c r="D10" s="47"/>
      <c r="E10" s="48">
        <f t="shared" si="1"/>
        <v>0</v>
      </c>
      <c r="F10" s="49"/>
      <c r="G10" s="50"/>
      <c r="H10" s="51">
        <f t="shared" ref="H10:H22" si="10">D10+F10</f>
        <v>0</v>
      </c>
      <c r="I10" s="52">
        <f t="shared" ref="I10:I22" si="11">G10+E10</f>
        <v>0</v>
      </c>
      <c r="J10" s="203"/>
      <c r="K10" s="209">
        <f t="shared" si="2"/>
        <v>0</v>
      </c>
      <c r="L10" s="205"/>
      <c r="M10" s="206"/>
      <c r="N10" s="195">
        <f t="shared" ref="N10:N22" si="12">J10+L10</f>
        <v>0</v>
      </c>
      <c r="O10" s="196">
        <f t="shared" ref="O10:O22" si="13">M10+K10</f>
        <v>0</v>
      </c>
      <c r="P10" s="53"/>
      <c r="Q10" s="179">
        <f t="shared" si="3"/>
        <v>0</v>
      </c>
      <c r="R10" s="233"/>
      <c r="S10" s="56"/>
      <c r="T10" s="57">
        <f t="shared" ref="T10:T22" si="14">P10+R10</f>
        <v>0</v>
      </c>
      <c r="U10" s="58">
        <f t="shared" ref="U10:U22" si="15">S10+Q10</f>
        <v>0</v>
      </c>
      <c r="V10" s="59"/>
      <c r="W10" s="60">
        <f t="shared" si="0"/>
        <v>0</v>
      </c>
      <c r="X10" s="61"/>
      <c r="Y10" s="62"/>
      <c r="Z10" s="63">
        <f t="shared" ref="Z10:Z22" si="16">V10+X10</f>
        <v>0</v>
      </c>
      <c r="AA10" s="41">
        <f t="shared" ref="AA10:AA22" si="17">Y10+W10</f>
        <v>0</v>
      </c>
      <c r="AB10" s="42">
        <f t="shared" si="4"/>
        <v>0</v>
      </c>
      <c r="AC10" s="188">
        <f t="shared" si="5"/>
        <v>0</v>
      </c>
      <c r="AD10" s="44"/>
      <c r="AE10" s="64"/>
      <c r="AG10" s="218">
        <f t="shared" si="6"/>
        <v>0</v>
      </c>
      <c r="AI10" s="64">
        <f t="shared" si="7"/>
        <v>0</v>
      </c>
      <c r="AK10" s="142">
        <f t="shared" si="8"/>
        <v>0</v>
      </c>
      <c r="AM10" s="142">
        <f t="shared" si="9"/>
        <v>0</v>
      </c>
    </row>
    <row r="11" spans="1:39" x14ac:dyDescent="0.25">
      <c r="B11" s="174">
        <v>6320</v>
      </c>
      <c r="C11" s="153" t="s">
        <v>17</v>
      </c>
      <c r="D11" s="65"/>
      <c r="E11" s="48">
        <f t="shared" si="1"/>
        <v>0</v>
      </c>
      <c r="F11" s="49"/>
      <c r="G11" s="50"/>
      <c r="H11" s="51">
        <f t="shared" si="10"/>
        <v>0</v>
      </c>
      <c r="I11" s="52">
        <f t="shared" si="11"/>
        <v>0</v>
      </c>
      <c r="J11" s="207"/>
      <c r="K11" s="209">
        <f t="shared" si="2"/>
        <v>0</v>
      </c>
      <c r="L11" s="205"/>
      <c r="M11" s="206"/>
      <c r="N11" s="195">
        <f t="shared" si="12"/>
        <v>0</v>
      </c>
      <c r="O11" s="196">
        <f t="shared" si="13"/>
        <v>0</v>
      </c>
      <c r="P11" s="66"/>
      <c r="Q11" s="179">
        <f t="shared" si="3"/>
        <v>0</v>
      </c>
      <c r="R11" s="234">
        <v>10</v>
      </c>
      <c r="S11" s="56">
        <f>948+5295+6320*8</f>
        <v>56803</v>
      </c>
      <c r="T11" s="57">
        <f t="shared" si="14"/>
        <v>10</v>
      </c>
      <c r="U11" s="58">
        <f t="shared" si="15"/>
        <v>56803</v>
      </c>
      <c r="V11" s="68"/>
      <c r="W11" s="60">
        <f t="shared" si="0"/>
        <v>0</v>
      </c>
      <c r="X11" s="69"/>
      <c r="Y11" s="62"/>
      <c r="Z11" s="63">
        <f t="shared" si="16"/>
        <v>0</v>
      </c>
      <c r="AA11" s="41">
        <f t="shared" si="17"/>
        <v>0</v>
      </c>
      <c r="AB11" s="152">
        <f t="shared" si="4"/>
        <v>10</v>
      </c>
      <c r="AC11" s="220">
        <f t="shared" si="5"/>
        <v>56803</v>
      </c>
      <c r="AD11" s="70"/>
      <c r="AE11" s="151">
        <f>5372+1025</f>
        <v>6397</v>
      </c>
      <c r="AG11" s="218">
        <f t="shared" si="6"/>
        <v>0</v>
      </c>
      <c r="AI11" s="151">
        <f t="shared" si="7"/>
        <v>56803</v>
      </c>
      <c r="AK11" s="142">
        <f t="shared" si="8"/>
        <v>10</v>
      </c>
      <c r="AM11" s="142">
        <f t="shared" si="9"/>
        <v>0</v>
      </c>
    </row>
    <row r="12" spans="1:39" x14ac:dyDescent="0.25">
      <c r="B12" s="174">
        <v>6320</v>
      </c>
      <c r="C12" s="46" t="s">
        <v>18</v>
      </c>
      <c r="D12" s="65"/>
      <c r="E12" s="48">
        <f t="shared" si="1"/>
        <v>0</v>
      </c>
      <c r="F12" s="49"/>
      <c r="G12" s="50"/>
      <c r="H12" s="51">
        <f t="shared" si="10"/>
        <v>0</v>
      </c>
      <c r="I12" s="52">
        <f t="shared" si="11"/>
        <v>0</v>
      </c>
      <c r="J12" s="207"/>
      <c r="K12" s="209">
        <f t="shared" si="2"/>
        <v>0</v>
      </c>
      <c r="L12" s="205"/>
      <c r="M12" s="206"/>
      <c r="N12" s="195">
        <f t="shared" si="12"/>
        <v>0</v>
      </c>
      <c r="O12" s="196">
        <f t="shared" si="13"/>
        <v>0</v>
      </c>
      <c r="P12" s="66"/>
      <c r="Q12" s="179">
        <f t="shared" si="3"/>
        <v>0</v>
      </c>
      <c r="R12" s="234"/>
      <c r="S12" s="56"/>
      <c r="T12" s="57">
        <f t="shared" si="14"/>
        <v>0</v>
      </c>
      <c r="U12" s="58">
        <f t="shared" si="15"/>
        <v>0</v>
      </c>
      <c r="V12" s="68"/>
      <c r="W12" s="60">
        <f t="shared" si="0"/>
        <v>0</v>
      </c>
      <c r="X12" s="69"/>
      <c r="Y12" s="62"/>
      <c r="Z12" s="63">
        <f t="shared" si="16"/>
        <v>0</v>
      </c>
      <c r="AA12" s="41">
        <f t="shared" si="17"/>
        <v>0</v>
      </c>
      <c r="AB12" s="42">
        <f t="shared" si="4"/>
        <v>0</v>
      </c>
      <c r="AC12" s="188">
        <f t="shared" si="5"/>
        <v>0</v>
      </c>
      <c r="AD12" s="71"/>
      <c r="AE12" s="64"/>
      <c r="AG12" s="218">
        <f t="shared" si="6"/>
        <v>0</v>
      </c>
      <c r="AI12" s="64">
        <f t="shared" si="7"/>
        <v>0</v>
      </c>
      <c r="AK12" s="142">
        <f t="shared" si="8"/>
        <v>0</v>
      </c>
      <c r="AM12" s="142">
        <f t="shared" si="9"/>
        <v>0</v>
      </c>
    </row>
    <row r="13" spans="1:39" x14ac:dyDescent="0.25">
      <c r="B13" s="174">
        <v>6320</v>
      </c>
      <c r="C13" s="46" t="s">
        <v>19</v>
      </c>
      <c r="D13" s="65"/>
      <c r="E13" s="48">
        <f t="shared" si="1"/>
        <v>0</v>
      </c>
      <c r="F13" s="49"/>
      <c r="G13" s="50"/>
      <c r="H13" s="51">
        <f t="shared" si="10"/>
        <v>0</v>
      </c>
      <c r="I13" s="52">
        <f t="shared" si="11"/>
        <v>0</v>
      </c>
      <c r="J13" s="207"/>
      <c r="K13" s="209">
        <f t="shared" si="2"/>
        <v>0</v>
      </c>
      <c r="L13" s="205"/>
      <c r="M13" s="206"/>
      <c r="N13" s="195">
        <f t="shared" si="12"/>
        <v>0</v>
      </c>
      <c r="O13" s="196">
        <f t="shared" si="13"/>
        <v>0</v>
      </c>
      <c r="P13" s="66"/>
      <c r="Q13" s="179">
        <f t="shared" si="3"/>
        <v>0</v>
      </c>
      <c r="R13" s="234"/>
      <c r="S13" s="56"/>
      <c r="T13" s="57">
        <f t="shared" si="14"/>
        <v>0</v>
      </c>
      <c r="U13" s="58">
        <f t="shared" si="15"/>
        <v>0</v>
      </c>
      <c r="V13" s="68"/>
      <c r="W13" s="60">
        <f t="shared" si="0"/>
        <v>0</v>
      </c>
      <c r="X13" s="69"/>
      <c r="Y13" s="62"/>
      <c r="Z13" s="63">
        <f t="shared" si="16"/>
        <v>0</v>
      </c>
      <c r="AA13" s="41">
        <f t="shared" si="17"/>
        <v>0</v>
      </c>
      <c r="AB13" s="42">
        <f t="shared" si="4"/>
        <v>0</v>
      </c>
      <c r="AC13" s="188">
        <f t="shared" si="5"/>
        <v>0</v>
      </c>
      <c r="AD13" s="70"/>
      <c r="AE13" s="64"/>
      <c r="AG13" s="218">
        <f t="shared" si="6"/>
        <v>0</v>
      </c>
      <c r="AI13" s="64">
        <f t="shared" si="7"/>
        <v>0</v>
      </c>
      <c r="AK13" s="142">
        <f t="shared" si="8"/>
        <v>0</v>
      </c>
      <c r="AM13" s="142">
        <f t="shared" si="9"/>
        <v>0</v>
      </c>
    </row>
    <row r="14" spans="1:39" x14ac:dyDescent="0.25">
      <c r="B14" s="174">
        <v>6320</v>
      </c>
      <c r="C14" s="46" t="s">
        <v>20</v>
      </c>
      <c r="D14" s="65"/>
      <c r="E14" s="48">
        <f t="shared" si="1"/>
        <v>0</v>
      </c>
      <c r="F14" s="49"/>
      <c r="G14" s="50"/>
      <c r="H14" s="51">
        <f t="shared" si="10"/>
        <v>0</v>
      </c>
      <c r="I14" s="52">
        <f t="shared" si="11"/>
        <v>0</v>
      </c>
      <c r="J14" s="207"/>
      <c r="K14" s="209">
        <f t="shared" si="2"/>
        <v>0</v>
      </c>
      <c r="L14" s="205"/>
      <c r="M14" s="206"/>
      <c r="N14" s="195">
        <f t="shared" si="12"/>
        <v>0</v>
      </c>
      <c r="O14" s="196">
        <f t="shared" si="13"/>
        <v>0</v>
      </c>
      <c r="P14" s="66"/>
      <c r="Q14" s="179">
        <f t="shared" si="3"/>
        <v>0</v>
      </c>
      <c r="R14" s="234"/>
      <c r="S14" s="56"/>
      <c r="T14" s="57">
        <f t="shared" si="14"/>
        <v>0</v>
      </c>
      <c r="U14" s="58">
        <f t="shared" si="15"/>
        <v>0</v>
      </c>
      <c r="V14" s="68"/>
      <c r="W14" s="60">
        <f t="shared" si="0"/>
        <v>0</v>
      </c>
      <c r="X14" s="69"/>
      <c r="Y14" s="62"/>
      <c r="Z14" s="63">
        <f t="shared" si="16"/>
        <v>0</v>
      </c>
      <c r="AA14" s="41">
        <f t="shared" si="17"/>
        <v>0</v>
      </c>
      <c r="AB14" s="42">
        <f t="shared" si="4"/>
        <v>0</v>
      </c>
      <c r="AC14" s="188">
        <f t="shared" si="5"/>
        <v>0</v>
      </c>
      <c r="AD14" s="70"/>
      <c r="AE14" s="64"/>
      <c r="AG14" s="218">
        <f t="shared" si="6"/>
        <v>0</v>
      </c>
      <c r="AI14" s="64">
        <f t="shared" si="7"/>
        <v>0</v>
      </c>
      <c r="AK14" s="142">
        <f t="shared" si="8"/>
        <v>0</v>
      </c>
      <c r="AM14" s="142">
        <f t="shared" si="9"/>
        <v>0</v>
      </c>
    </row>
    <row r="15" spans="1:39" x14ac:dyDescent="0.25">
      <c r="B15" s="174">
        <v>6320</v>
      </c>
      <c r="C15" s="46" t="s">
        <v>21</v>
      </c>
      <c r="D15" s="65"/>
      <c r="E15" s="48">
        <f t="shared" si="1"/>
        <v>0</v>
      </c>
      <c r="F15" s="49"/>
      <c r="G15" s="50"/>
      <c r="H15" s="51">
        <f t="shared" si="10"/>
        <v>0</v>
      </c>
      <c r="I15" s="52">
        <f t="shared" si="11"/>
        <v>0</v>
      </c>
      <c r="J15" s="207"/>
      <c r="K15" s="209">
        <f t="shared" si="2"/>
        <v>0</v>
      </c>
      <c r="L15" s="205"/>
      <c r="M15" s="206"/>
      <c r="N15" s="195">
        <f t="shared" si="12"/>
        <v>0</v>
      </c>
      <c r="O15" s="196">
        <f t="shared" si="13"/>
        <v>0</v>
      </c>
      <c r="P15" s="66"/>
      <c r="Q15" s="179">
        <f t="shared" si="3"/>
        <v>0</v>
      </c>
      <c r="R15" s="234"/>
      <c r="S15" s="56"/>
      <c r="T15" s="57">
        <f t="shared" si="14"/>
        <v>0</v>
      </c>
      <c r="U15" s="58">
        <f t="shared" si="15"/>
        <v>0</v>
      </c>
      <c r="V15" s="68"/>
      <c r="W15" s="60">
        <f t="shared" si="0"/>
        <v>0</v>
      </c>
      <c r="X15" s="69"/>
      <c r="Y15" s="62"/>
      <c r="Z15" s="63">
        <f t="shared" si="16"/>
        <v>0</v>
      </c>
      <c r="AA15" s="41">
        <f t="shared" si="17"/>
        <v>0</v>
      </c>
      <c r="AB15" s="42">
        <f t="shared" si="4"/>
        <v>0</v>
      </c>
      <c r="AC15" s="188">
        <f t="shared" si="5"/>
        <v>0</v>
      </c>
      <c r="AD15" s="70"/>
      <c r="AE15" s="64"/>
      <c r="AG15" s="218">
        <f t="shared" si="6"/>
        <v>0</v>
      </c>
      <c r="AI15" s="64">
        <f t="shared" si="7"/>
        <v>0</v>
      </c>
      <c r="AK15" s="142">
        <f t="shared" si="8"/>
        <v>0</v>
      </c>
      <c r="AM15" s="142">
        <f t="shared" si="9"/>
        <v>0</v>
      </c>
    </row>
    <row r="16" spans="1:39" x14ac:dyDescent="0.25">
      <c r="B16" s="174" t="s">
        <v>26</v>
      </c>
      <c r="C16" s="46" t="s">
        <v>33</v>
      </c>
      <c r="D16" s="65"/>
      <c r="E16" s="48">
        <v>0</v>
      </c>
      <c r="F16" s="49"/>
      <c r="G16" s="50"/>
      <c r="H16" s="51">
        <f t="shared" si="10"/>
        <v>0</v>
      </c>
      <c r="I16" s="52">
        <f t="shared" si="11"/>
        <v>0</v>
      </c>
      <c r="J16" s="207"/>
      <c r="K16" s="209">
        <v>0</v>
      </c>
      <c r="L16" s="205"/>
      <c r="M16" s="206"/>
      <c r="N16" s="195">
        <f t="shared" si="12"/>
        <v>0</v>
      </c>
      <c r="O16" s="196">
        <f t="shared" si="13"/>
        <v>0</v>
      </c>
      <c r="P16" s="66"/>
      <c r="Q16" s="179">
        <v>0</v>
      </c>
      <c r="R16" s="234"/>
      <c r="S16" s="56"/>
      <c r="T16" s="57">
        <f t="shared" si="14"/>
        <v>0</v>
      </c>
      <c r="U16" s="58">
        <f t="shared" si="15"/>
        <v>0</v>
      </c>
      <c r="V16" s="68"/>
      <c r="W16" s="60">
        <v>0</v>
      </c>
      <c r="X16" s="69"/>
      <c r="Y16" s="62"/>
      <c r="Z16" s="63">
        <f>+X16+V16</f>
        <v>0</v>
      </c>
      <c r="AA16" s="41">
        <f>+Y16+W16</f>
        <v>0</v>
      </c>
      <c r="AB16" s="42">
        <f t="shared" si="4"/>
        <v>0</v>
      </c>
      <c r="AC16" s="188">
        <f t="shared" si="5"/>
        <v>0</v>
      </c>
      <c r="AD16" s="70"/>
      <c r="AE16" s="64"/>
      <c r="AG16" s="218">
        <f t="shared" si="6"/>
        <v>0</v>
      </c>
      <c r="AI16" s="64">
        <f t="shared" si="7"/>
        <v>0</v>
      </c>
      <c r="AK16" s="142">
        <f t="shared" si="8"/>
        <v>0</v>
      </c>
      <c r="AM16" s="142">
        <f t="shared" si="9"/>
        <v>0</v>
      </c>
    </row>
    <row r="17" spans="2:41" x14ac:dyDescent="0.25">
      <c r="B17" s="175">
        <v>14010</v>
      </c>
      <c r="C17" s="46" t="s">
        <v>23</v>
      </c>
      <c r="D17" s="65"/>
      <c r="E17" s="48">
        <f t="shared" si="1"/>
        <v>0</v>
      </c>
      <c r="F17" s="49"/>
      <c r="G17" s="50"/>
      <c r="H17" s="51">
        <f t="shared" si="10"/>
        <v>0</v>
      </c>
      <c r="I17" s="52">
        <f t="shared" si="11"/>
        <v>0</v>
      </c>
      <c r="J17" s="207"/>
      <c r="K17" s="209">
        <f t="shared" si="2"/>
        <v>0</v>
      </c>
      <c r="L17" s="205"/>
      <c r="M17" s="206"/>
      <c r="N17" s="195">
        <f t="shared" si="12"/>
        <v>0</v>
      </c>
      <c r="O17" s="196">
        <f t="shared" si="13"/>
        <v>0</v>
      </c>
      <c r="P17" s="66"/>
      <c r="Q17" s="179">
        <f t="shared" si="3"/>
        <v>0</v>
      </c>
      <c r="R17" s="234"/>
      <c r="S17" s="56"/>
      <c r="T17" s="57">
        <f t="shared" si="14"/>
        <v>0</v>
      </c>
      <c r="U17" s="58">
        <f t="shared" si="15"/>
        <v>0</v>
      </c>
      <c r="V17" s="68"/>
      <c r="W17" s="60">
        <f t="shared" si="0"/>
        <v>0</v>
      </c>
      <c r="X17" s="69"/>
      <c r="Y17" s="62"/>
      <c r="Z17" s="63">
        <f t="shared" si="16"/>
        <v>0</v>
      </c>
      <c r="AA17" s="41">
        <f t="shared" si="17"/>
        <v>0</v>
      </c>
      <c r="AB17" s="42">
        <f t="shared" si="4"/>
        <v>0</v>
      </c>
      <c r="AC17" s="188">
        <f t="shared" si="5"/>
        <v>0</v>
      </c>
      <c r="AD17" s="70"/>
      <c r="AE17" s="64"/>
      <c r="AG17" s="218">
        <f t="shared" si="6"/>
        <v>0</v>
      </c>
      <c r="AI17" s="64">
        <f t="shared" si="7"/>
        <v>0</v>
      </c>
      <c r="AK17" s="142">
        <f t="shared" si="8"/>
        <v>0</v>
      </c>
      <c r="AM17" s="142">
        <f t="shared" si="9"/>
        <v>0</v>
      </c>
    </row>
    <row r="18" spans="2:41" x14ac:dyDescent="0.25">
      <c r="B18" s="174">
        <v>11870</v>
      </c>
      <c r="C18" s="153" t="s">
        <v>24</v>
      </c>
      <c r="D18" s="65"/>
      <c r="E18" s="48">
        <f t="shared" si="1"/>
        <v>0</v>
      </c>
      <c r="F18" s="49"/>
      <c r="G18" s="50"/>
      <c r="H18" s="51">
        <f t="shared" si="10"/>
        <v>0</v>
      </c>
      <c r="I18" s="52">
        <f t="shared" si="11"/>
        <v>0</v>
      </c>
      <c r="J18" s="207"/>
      <c r="K18" s="209">
        <f t="shared" si="2"/>
        <v>0</v>
      </c>
      <c r="L18" s="205"/>
      <c r="M18" s="206"/>
      <c r="N18" s="195">
        <f t="shared" si="12"/>
        <v>0</v>
      </c>
      <c r="O18" s="196">
        <f t="shared" si="13"/>
        <v>0</v>
      </c>
      <c r="P18" s="66"/>
      <c r="Q18" s="179">
        <f t="shared" si="3"/>
        <v>0</v>
      </c>
      <c r="R18" s="234">
        <v>2</v>
      </c>
      <c r="S18" s="56">
        <f>11870*2</f>
        <v>23740</v>
      </c>
      <c r="T18" s="57">
        <f t="shared" si="14"/>
        <v>2</v>
      </c>
      <c r="U18" s="58">
        <f t="shared" si="15"/>
        <v>23740</v>
      </c>
      <c r="V18" s="68"/>
      <c r="W18" s="60">
        <f t="shared" si="0"/>
        <v>0</v>
      </c>
      <c r="X18" s="69"/>
      <c r="Y18" s="62"/>
      <c r="Z18" s="63">
        <f t="shared" si="16"/>
        <v>0</v>
      </c>
      <c r="AA18" s="41">
        <f t="shared" si="17"/>
        <v>0</v>
      </c>
      <c r="AB18" s="152">
        <f t="shared" si="4"/>
        <v>2</v>
      </c>
      <c r="AC18" s="220">
        <f t="shared" si="5"/>
        <v>23740</v>
      </c>
      <c r="AD18" s="70"/>
      <c r="AE18" s="64"/>
      <c r="AG18" s="218">
        <f t="shared" si="6"/>
        <v>0</v>
      </c>
      <c r="AI18" s="151">
        <f t="shared" si="7"/>
        <v>23740</v>
      </c>
      <c r="AK18" s="142">
        <f t="shared" si="8"/>
        <v>2</v>
      </c>
      <c r="AM18" s="142">
        <f t="shared" si="9"/>
        <v>0</v>
      </c>
    </row>
    <row r="19" spans="2:41" x14ac:dyDescent="0.25">
      <c r="B19" s="174">
        <v>6710</v>
      </c>
      <c r="C19" s="153" t="s">
        <v>0</v>
      </c>
      <c r="D19" s="65"/>
      <c r="E19" s="48">
        <f t="shared" si="1"/>
        <v>0</v>
      </c>
      <c r="F19" s="72"/>
      <c r="G19" s="50"/>
      <c r="H19" s="51">
        <f t="shared" si="10"/>
        <v>0</v>
      </c>
      <c r="I19" s="52">
        <f t="shared" si="11"/>
        <v>0</v>
      </c>
      <c r="J19" s="207"/>
      <c r="K19" s="209">
        <f t="shared" si="2"/>
        <v>0</v>
      </c>
      <c r="L19" s="208"/>
      <c r="M19" s="206"/>
      <c r="N19" s="195">
        <f t="shared" si="12"/>
        <v>0</v>
      </c>
      <c r="O19" s="196">
        <f t="shared" si="13"/>
        <v>0</v>
      </c>
      <c r="P19" s="66"/>
      <c r="Q19" s="179">
        <f t="shared" si="3"/>
        <v>0</v>
      </c>
      <c r="R19" s="235">
        <v>1</v>
      </c>
      <c r="S19" s="56">
        <v>6710</v>
      </c>
      <c r="T19" s="57">
        <f t="shared" si="14"/>
        <v>1</v>
      </c>
      <c r="U19" s="58">
        <f t="shared" si="15"/>
        <v>6710</v>
      </c>
      <c r="V19" s="68"/>
      <c r="W19" s="60">
        <f t="shared" si="0"/>
        <v>0</v>
      </c>
      <c r="X19" s="74"/>
      <c r="Y19" s="62"/>
      <c r="Z19" s="63">
        <f t="shared" si="16"/>
        <v>0</v>
      </c>
      <c r="AA19" s="41">
        <f t="shared" si="17"/>
        <v>0</v>
      </c>
      <c r="AB19" s="152">
        <f t="shared" si="4"/>
        <v>1</v>
      </c>
      <c r="AC19" s="220">
        <f t="shared" si="5"/>
        <v>6710</v>
      </c>
      <c r="AD19" s="70"/>
      <c r="AE19" s="64"/>
      <c r="AF19" s="1" t="s">
        <v>25</v>
      </c>
      <c r="AG19" s="218">
        <f t="shared" si="6"/>
        <v>0</v>
      </c>
      <c r="AI19" s="151">
        <f t="shared" si="7"/>
        <v>6710</v>
      </c>
      <c r="AK19" s="142">
        <f t="shared" si="8"/>
        <v>1</v>
      </c>
      <c r="AM19" s="142">
        <f t="shared" si="9"/>
        <v>0</v>
      </c>
    </row>
    <row r="20" spans="2:41" x14ac:dyDescent="0.25">
      <c r="B20" s="174" t="s">
        <v>26</v>
      </c>
      <c r="C20" s="46" t="s">
        <v>0</v>
      </c>
      <c r="D20" s="65"/>
      <c r="E20" s="48">
        <v>0</v>
      </c>
      <c r="F20" s="49"/>
      <c r="G20" s="50"/>
      <c r="H20" s="51">
        <f t="shared" si="10"/>
        <v>0</v>
      </c>
      <c r="I20" s="52">
        <f t="shared" si="11"/>
        <v>0</v>
      </c>
      <c r="J20" s="207"/>
      <c r="K20" s="209">
        <v>0</v>
      </c>
      <c r="L20" s="205"/>
      <c r="M20" s="206"/>
      <c r="N20" s="195">
        <f t="shared" si="12"/>
        <v>0</v>
      </c>
      <c r="O20" s="196">
        <f t="shared" si="13"/>
        <v>0</v>
      </c>
      <c r="P20" s="66"/>
      <c r="Q20" s="179">
        <v>0</v>
      </c>
      <c r="R20" s="234"/>
      <c r="S20" s="56"/>
      <c r="T20" s="57">
        <f t="shared" si="14"/>
        <v>0</v>
      </c>
      <c r="U20" s="58">
        <f t="shared" si="15"/>
        <v>0</v>
      </c>
      <c r="V20" s="68"/>
      <c r="W20" s="60">
        <v>0</v>
      </c>
      <c r="X20" s="69"/>
      <c r="Y20" s="62"/>
      <c r="Z20" s="63">
        <f t="shared" si="16"/>
        <v>0</v>
      </c>
      <c r="AA20" s="41">
        <f t="shared" si="17"/>
        <v>0</v>
      </c>
      <c r="AB20" s="42">
        <f t="shared" si="4"/>
        <v>0</v>
      </c>
      <c r="AC20" s="188">
        <f t="shared" si="5"/>
        <v>0</v>
      </c>
      <c r="AD20" s="70"/>
      <c r="AE20" s="64"/>
      <c r="AG20" s="218">
        <f t="shared" si="6"/>
        <v>0</v>
      </c>
      <c r="AI20" s="64">
        <f t="shared" si="7"/>
        <v>0</v>
      </c>
      <c r="AK20" s="142">
        <f t="shared" si="8"/>
        <v>0</v>
      </c>
      <c r="AM20" s="142">
        <f t="shared" si="9"/>
        <v>0</v>
      </c>
    </row>
    <row r="21" spans="2:41" x14ac:dyDescent="0.25">
      <c r="B21" s="174" t="s">
        <v>26</v>
      </c>
      <c r="C21" s="46" t="s">
        <v>28</v>
      </c>
      <c r="D21" s="65"/>
      <c r="E21" s="75">
        <v>0</v>
      </c>
      <c r="F21" s="49"/>
      <c r="G21" s="50"/>
      <c r="H21" s="51">
        <f t="shared" si="10"/>
        <v>0</v>
      </c>
      <c r="I21" s="52">
        <f t="shared" si="11"/>
        <v>0</v>
      </c>
      <c r="J21" s="207"/>
      <c r="K21" s="209">
        <v>0</v>
      </c>
      <c r="L21" s="205"/>
      <c r="M21" s="206"/>
      <c r="N21" s="195">
        <f t="shared" si="12"/>
        <v>0</v>
      </c>
      <c r="O21" s="196">
        <f t="shared" si="13"/>
        <v>0</v>
      </c>
      <c r="P21" s="66"/>
      <c r="Q21" s="179">
        <v>0</v>
      </c>
      <c r="R21" s="234"/>
      <c r="S21" s="56"/>
      <c r="T21" s="57">
        <f t="shared" si="14"/>
        <v>0</v>
      </c>
      <c r="U21" s="58">
        <f t="shared" si="15"/>
        <v>0</v>
      </c>
      <c r="V21" s="68"/>
      <c r="W21" s="60">
        <v>0</v>
      </c>
      <c r="X21" s="69"/>
      <c r="Y21" s="62"/>
      <c r="Z21" s="63">
        <f t="shared" si="16"/>
        <v>0</v>
      </c>
      <c r="AA21" s="41">
        <f t="shared" si="17"/>
        <v>0</v>
      </c>
      <c r="AB21" s="42">
        <f t="shared" si="4"/>
        <v>0</v>
      </c>
      <c r="AC21" s="188">
        <f t="shared" si="5"/>
        <v>0</v>
      </c>
      <c r="AD21" s="70"/>
      <c r="AE21" s="64"/>
      <c r="AG21" s="218">
        <f t="shared" si="6"/>
        <v>0</v>
      </c>
      <c r="AI21" s="64">
        <f t="shared" si="7"/>
        <v>0</v>
      </c>
      <c r="AK21" s="142">
        <f t="shared" si="8"/>
        <v>0</v>
      </c>
      <c r="AM21" s="142">
        <f t="shared" si="9"/>
        <v>0</v>
      </c>
    </row>
    <row r="22" spans="2:41" ht="15.75" thickBot="1" x14ac:dyDescent="0.3">
      <c r="B22" s="176" t="s">
        <v>26</v>
      </c>
      <c r="C22" s="76" t="s">
        <v>29</v>
      </c>
      <c r="D22" s="77"/>
      <c r="E22" s="78">
        <v>0</v>
      </c>
      <c r="F22" s="79"/>
      <c r="G22" s="80"/>
      <c r="H22" s="81">
        <f t="shared" si="10"/>
        <v>0</v>
      </c>
      <c r="I22" s="82">
        <f t="shared" si="11"/>
        <v>0</v>
      </c>
      <c r="J22" s="210"/>
      <c r="K22" s="228">
        <v>0</v>
      </c>
      <c r="L22" s="229"/>
      <c r="M22" s="230"/>
      <c r="N22" s="197">
        <f t="shared" si="12"/>
        <v>0</v>
      </c>
      <c r="O22" s="198">
        <f t="shared" si="13"/>
        <v>0</v>
      </c>
      <c r="P22" s="83"/>
      <c r="Q22" s="231">
        <v>0</v>
      </c>
      <c r="R22" s="236"/>
      <c r="S22" s="237"/>
      <c r="T22" s="87">
        <f t="shared" si="14"/>
        <v>0</v>
      </c>
      <c r="U22" s="88">
        <f t="shared" si="15"/>
        <v>0</v>
      </c>
      <c r="V22" s="89"/>
      <c r="W22" s="60">
        <v>0</v>
      </c>
      <c r="X22" s="90"/>
      <c r="Y22" s="91"/>
      <c r="Z22" s="92">
        <f t="shared" si="16"/>
        <v>0</v>
      </c>
      <c r="AA22" s="93">
        <f t="shared" si="17"/>
        <v>0</v>
      </c>
      <c r="AB22" s="42">
        <f t="shared" si="4"/>
        <v>0</v>
      </c>
      <c r="AC22" s="188">
        <f t="shared" si="5"/>
        <v>0</v>
      </c>
      <c r="AD22" s="70"/>
      <c r="AE22" s="94"/>
      <c r="AG22" s="219">
        <f t="shared" si="6"/>
        <v>0</v>
      </c>
      <c r="AI22" s="94">
        <f t="shared" si="7"/>
        <v>0</v>
      </c>
      <c r="AK22" s="144">
        <f t="shared" si="8"/>
        <v>0</v>
      </c>
      <c r="AM22" s="144">
        <f t="shared" si="9"/>
        <v>0</v>
      </c>
    </row>
    <row r="23" spans="2:41" ht="15.75" thickBot="1" x14ac:dyDescent="0.3">
      <c r="D23" s="95">
        <f t="shared" ref="D23:I23" si="18">SUM(D8:D22)</f>
        <v>0</v>
      </c>
      <c r="E23" s="96">
        <f t="shared" si="18"/>
        <v>0</v>
      </c>
      <c r="F23" s="95">
        <f t="shared" si="18"/>
        <v>0</v>
      </c>
      <c r="G23" s="97">
        <f t="shared" si="18"/>
        <v>0</v>
      </c>
      <c r="H23" s="279">
        <f t="shared" si="18"/>
        <v>0</v>
      </c>
      <c r="I23" s="280">
        <f t="shared" si="18"/>
        <v>0</v>
      </c>
      <c r="J23" s="214">
        <f t="shared" ref="J23:O23" si="19">SUM(J8:J22)</f>
        <v>0</v>
      </c>
      <c r="K23" s="226">
        <f t="shared" si="19"/>
        <v>0</v>
      </c>
      <c r="L23" s="214">
        <f t="shared" si="19"/>
        <v>0</v>
      </c>
      <c r="M23" s="216">
        <f t="shared" si="19"/>
        <v>0</v>
      </c>
      <c r="N23" s="217">
        <f t="shared" si="19"/>
        <v>0</v>
      </c>
      <c r="O23" s="99">
        <f t="shared" si="19"/>
        <v>0</v>
      </c>
      <c r="P23" s="100">
        <f t="shared" ref="P23:AA23" si="20">SUM(P8:P22)</f>
        <v>0</v>
      </c>
      <c r="Q23" s="101">
        <f t="shared" si="20"/>
        <v>0</v>
      </c>
      <c r="R23" s="100">
        <f t="shared" si="20"/>
        <v>18</v>
      </c>
      <c r="S23" s="102">
        <f t="shared" si="20"/>
        <v>118853</v>
      </c>
      <c r="T23" s="103">
        <f t="shared" si="20"/>
        <v>18</v>
      </c>
      <c r="U23" s="277">
        <f t="shared" si="20"/>
        <v>118853</v>
      </c>
      <c r="V23" s="105">
        <f t="shared" si="20"/>
        <v>0</v>
      </c>
      <c r="W23" s="106">
        <f t="shared" si="20"/>
        <v>0</v>
      </c>
      <c r="X23" s="105">
        <f t="shared" si="20"/>
        <v>0</v>
      </c>
      <c r="Y23" s="107">
        <f t="shared" si="20"/>
        <v>0</v>
      </c>
      <c r="Z23" s="108">
        <f t="shared" si="20"/>
        <v>0</v>
      </c>
      <c r="AA23" s="278">
        <f t="shared" si="20"/>
        <v>0</v>
      </c>
      <c r="AB23" s="109" t="s">
        <v>9</v>
      </c>
      <c r="AC23" s="43">
        <f>SUM(AC8:AC22)</f>
        <v>118853</v>
      </c>
      <c r="AD23" s="70"/>
      <c r="AE23" s="1">
        <f>SUM(AE8:AE22)</f>
        <v>6397</v>
      </c>
      <c r="AI23" s="110"/>
      <c r="AK23" s="1">
        <f>SUM(AK8:AK22)</f>
        <v>18</v>
      </c>
      <c r="AM23" s="1">
        <f>SUM(AM8:AM22)</f>
        <v>0</v>
      </c>
      <c r="AO23" s="1">
        <f>+AK23+AM23</f>
        <v>18</v>
      </c>
    </row>
    <row r="24" spans="2:41" x14ac:dyDescent="0.25">
      <c r="G24" s="111"/>
      <c r="H24" s="111"/>
      <c r="I24" s="111"/>
      <c r="M24" s="111"/>
      <c r="N24" s="111"/>
      <c r="O24" s="111"/>
      <c r="P24" s="111"/>
      <c r="Q24" s="111"/>
      <c r="R24" s="2">
        <f>F23+L23+R23+X23</f>
        <v>18</v>
      </c>
      <c r="S24" s="111">
        <f>G23+M23+S23+Y23</f>
        <v>118853</v>
      </c>
      <c r="T24" s="111"/>
      <c r="U24" s="111"/>
      <c r="V24" s="111"/>
      <c r="W24" s="111"/>
      <c r="X24" s="111"/>
      <c r="Y24" s="111"/>
      <c r="Z24" s="111"/>
      <c r="AA24" s="111"/>
      <c r="AB24" s="2"/>
      <c r="AC24" s="70">
        <f>AA23+U23+I23+O23</f>
        <v>118853</v>
      </c>
      <c r="AD24" s="2"/>
    </row>
    <row r="25" spans="2:41" x14ac:dyDescent="0.25">
      <c r="D25" s="114" t="s">
        <v>30</v>
      </c>
      <c r="E25" s="114"/>
      <c r="G25" s="114"/>
      <c r="H25" s="114"/>
      <c r="I25" s="114"/>
      <c r="J25" s="114" t="s">
        <v>30</v>
      </c>
      <c r="K25" s="114"/>
      <c r="M25" s="114"/>
      <c r="N25" s="114"/>
      <c r="O25" s="114"/>
      <c r="P25" s="114"/>
      <c r="Q25" s="114"/>
      <c r="R25" s="114"/>
      <c r="S25" s="114"/>
      <c r="T25" s="114"/>
      <c r="U25" s="114"/>
      <c r="AA25" s="2"/>
      <c r="AB25" s="2"/>
      <c r="AC25" s="2"/>
      <c r="AD25" s="2"/>
    </row>
    <row r="26" spans="2:41" x14ac:dyDescent="0.25">
      <c r="D26" s="114"/>
      <c r="E26" s="114"/>
      <c r="J26" s="114"/>
      <c r="K26" s="114"/>
      <c r="P26" s="1"/>
      <c r="Q26" s="1"/>
      <c r="R26" s="1"/>
      <c r="S26" s="1"/>
      <c r="T26" s="1"/>
      <c r="U26" s="1"/>
      <c r="AA26" s="2"/>
      <c r="AB26" s="2"/>
      <c r="AC26" s="2"/>
      <c r="AD26" s="2"/>
    </row>
    <row r="27" spans="2:41" x14ac:dyDescent="0.25">
      <c r="C27" s="115">
        <v>20000</v>
      </c>
      <c r="D27" s="115"/>
      <c r="E27" s="115"/>
      <c r="F27" s="116"/>
      <c r="G27" s="117"/>
      <c r="H27" s="118"/>
      <c r="I27" s="119"/>
      <c r="J27" s="115"/>
      <c r="K27" s="115"/>
      <c r="L27" s="116"/>
      <c r="M27" s="117"/>
      <c r="N27" s="118"/>
      <c r="O27" s="119"/>
      <c r="P27" s="119"/>
      <c r="Q27" s="119"/>
      <c r="R27" s="119"/>
      <c r="S27" s="119"/>
      <c r="T27" s="119"/>
      <c r="U27" s="119">
        <v>0</v>
      </c>
      <c r="V27" s="119"/>
      <c r="W27" s="119"/>
      <c r="X27" s="120"/>
      <c r="Y27" s="121"/>
      <c r="Z27" s="120"/>
      <c r="AA27" s="119"/>
      <c r="AB27" s="122"/>
      <c r="AC27" s="122"/>
      <c r="AD27" s="2"/>
      <c r="AE27" s="2"/>
      <c r="AF27" s="2"/>
    </row>
    <row r="28" spans="2:41" x14ac:dyDescent="0.25">
      <c r="C28" s="115">
        <v>10000</v>
      </c>
      <c r="D28" s="115"/>
      <c r="E28" s="115"/>
      <c r="F28" s="116"/>
      <c r="G28" s="117"/>
      <c r="H28" s="118"/>
      <c r="I28" s="119"/>
      <c r="J28" s="115"/>
      <c r="K28" s="115"/>
      <c r="L28" s="116"/>
      <c r="M28" s="117"/>
      <c r="N28" s="118"/>
      <c r="O28" s="119"/>
      <c r="P28" s="119"/>
      <c r="Q28" s="119"/>
      <c r="R28" s="119"/>
      <c r="S28" s="119"/>
      <c r="T28" s="119"/>
      <c r="U28" s="119">
        <v>70000</v>
      </c>
      <c r="V28" s="119"/>
      <c r="W28" s="119"/>
      <c r="X28" s="120"/>
      <c r="Y28" s="122"/>
      <c r="Z28" s="120"/>
      <c r="AA28" s="119"/>
      <c r="AB28" s="122"/>
      <c r="AC28" s="122"/>
      <c r="AD28" s="2"/>
      <c r="AE28" s="2"/>
      <c r="AF28" s="2"/>
    </row>
    <row r="29" spans="2:41" x14ac:dyDescent="0.25">
      <c r="C29" s="115">
        <v>5000</v>
      </c>
      <c r="D29" s="115"/>
      <c r="E29" s="115"/>
      <c r="F29" s="116"/>
      <c r="G29" s="117"/>
      <c r="H29" s="118"/>
      <c r="I29" s="119"/>
      <c r="J29" s="115"/>
      <c r="K29" s="115"/>
      <c r="L29" s="116"/>
      <c r="M29" s="117"/>
      <c r="N29" s="118"/>
      <c r="O29" s="119"/>
      <c r="P29" s="119"/>
      <c r="Q29" s="119"/>
      <c r="R29" s="119"/>
      <c r="S29" s="119"/>
      <c r="T29" s="119"/>
      <c r="U29" s="119">
        <v>15000</v>
      </c>
      <c r="V29" s="119"/>
      <c r="W29" s="119"/>
      <c r="X29" s="120"/>
      <c r="Y29" s="121"/>
      <c r="Z29" s="120"/>
      <c r="AA29" s="119"/>
      <c r="AB29" s="122"/>
      <c r="AC29" s="122"/>
      <c r="AD29" s="2"/>
      <c r="AE29" s="2"/>
      <c r="AF29" s="2"/>
    </row>
    <row r="30" spans="2:41" x14ac:dyDescent="0.25">
      <c r="C30" s="115">
        <v>2000</v>
      </c>
      <c r="D30" s="115"/>
      <c r="E30" s="115"/>
      <c r="F30" s="116"/>
      <c r="G30" s="117"/>
      <c r="H30" s="118"/>
      <c r="I30" s="119"/>
      <c r="J30" s="115"/>
      <c r="K30" s="115"/>
      <c r="L30" s="116"/>
      <c r="M30" s="117"/>
      <c r="N30" s="118"/>
      <c r="O30" s="119"/>
      <c r="P30" s="119"/>
      <c r="Q30" s="119"/>
      <c r="R30" s="119"/>
      <c r="S30" s="119"/>
      <c r="T30" s="119"/>
      <c r="U30" s="119">
        <v>2000</v>
      </c>
      <c r="V30" s="119"/>
      <c r="W30" s="119"/>
      <c r="X30" s="120"/>
      <c r="Y30" s="121"/>
      <c r="Z30" s="120"/>
      <c r="AA30" s="119"/>
      <c r="AB30" s="122"/>
      <c r="AC30" s="122"/>
      <c r="AD30" s="123"/>
    </row>
    <row r="31" spans="2:41" x14ac:dyDescent="0.25">
      <c r="C31" s="115">
        <v>1000</v>
      </c>
      <c r="D31" s="115"/>
      <c r="E31" s="115"/>
      <c r="F31" s="116"/>
      <c r="G31" s="117"/>
      <c r="H31" s="118"/>
      <c r="I31" s="124"/>
      <c r="J31" s="115"/>
      <c r="K31" s="115"/>
      <c r="L31" s="116"/>
      <c r="M31" s="117"/>
      <c r="N31" s="118"/>
      <c r="O31" s="124"/>
      <c r="P31" s="124"/>
      <c r="Q31" s="124"/>
      <c r="R31" s="124"/>
      <c r="S31" s="124"/>
      <c r="T31" s="124"/>
      <c r="U31" s="124">
        <v>0</v>
      </c>
      <c r="V31" s="124"/>
      <c r="W31" s="124"/>
      <c r="X31" s="120"/>
      <c r="Y31" s="121"/>
      <c r="Z31" s="120"/>
      <c r="AA31" s="124"/>
      <c r="AB31" s="122"/>
      <c r="AC31" s="122"/>
      <c r="AD31" s="2"/>
    </row>
    <row r="32" spans="2:41" x14ac:dyDescent="0.25">
      <c r="C32" s="115">
        <v>500</v>
      </c>
      <c r="D32" s="115"/>
      <c r="E32" s="115"/>
      <c r="F32" s="116"/>
      <c r="G32" s="117"/>
      <c r="H32" s="118"/>
      <c r="I32" s="119"/>
      <c r="J32" s="115"/>
      <c r="K32" s="115"/>
      <c r="L32" s="116"/>
      <c r="M32" s="117"/>
      <c r="N32" s="118"/>
      <c r="O32" s="119"/>
      <c r="P32" s="119"/>
      <c r="Q32" s="119"/>
      <c r="R32" s="119"/>
      <c r="S32" s="119"/>
      <c r="T32" s="119"/>
      <c r="U32" s="119">
        <v>0</v>
      </c>
      <c r="V32" s="119"/>
      <c r="W32" s="119"/>
      <c r="X32" s="120"/>
      <c r="Y32" s="121"/>
      <c r="Z32" s="120"/>
      <c r="AA32" s="119"/>
      <c r="AB32" s="121"/>
      <c r="AC32" s="121"/>
      <c r="AD32" s="2"/>
    </row>
    <row r="33" spans="2:33" x14ac:dyDescent="0.25">
      <c r="C33" s="115">
        <v>100</v>
      </c>
      <c r="D33" s="115"/>
      <c r="E33" s="115"/>
      <c r="F33" s="116"/>
      <c r="G33" s="117"/>
      <c r="H33" s="118"/>
      <c r="I33" s="119"/>
      <c r="J33" s="115"/>
      <c r="K33" s="115"/>
      <c r="L33" s="116"/>
      <c r="M33" s="117"/>
      <c r="N33" s="118"/>
      <c r="O33" s="119"/>
      <c r="P33" s="119"/>
      <c r="Q33" s="119"/>
      <c r="R33" s="119"/>
      <c r="S33" s="119"/>
      <c r="T33" s="119"/>
      <c r="U33" s="119">
        <v>200</v>
      </c>
      <c r="V33" s="119"/>
      <c r="W33" s="119"/>
      <c r="X33" s="120"/>
      <c r="Y33" s="121"/>
      <c r="Z33" s="120"/>
      <c r="AA33" s="119"/>
      <c r="AB33" s="121"/>
      <c r="AC33" s="121"/>
      <c r="AD33" s="2"/>
    </row>
    <row r="34" spans="2:33" x14ac:dyDescent="0.25">
      <c r="C34" s="115">
        <v>50</v>
      </c>
      <c r="D34" s="115"/>
      <c r="E34" s="115"/>
      <c r="F34" s="116"/>
      <c r="G34" s="117"/>
      <c r="H34" s="118"/>
      <c r="I34" s="119"/>
      <c r="J34" s="115"/>
      <c r="K34" s="115"/>
      <c r="L34" s="116"/>
      <c r="M34" s="117"/>
      <c r="N34" s="118"/>
      <c r="O34" s="119"/>
      <c r="P34" s="119"/>
      <c r="Q34" s="119"/>
      <c r="R34" s="119"/>
      <c r="S34" s="119"/>
      <c r="T34" s="119"/>
      <c r="U34" s="119">
        <v>50</v>
      </c>
      <c r="V34" s="119"/>
      <c r="W34" s="119"/>
      <c r="X34" s="120"/>
      <c r="Y34" s="121"/>
      <c r="Z34" s="120"/>
      <c r="AA34" s="119"/>
      <c r="AB34" s="121"/>
      <c r="AC34" s="121"/>
      <c r="AD34" s="2"/>
    </row>
    <row r="35" spans="2:33" x14ac:dyDescent="0.25">
      <c r="C35" s="115">
        <v>10</v>
      </c>
      <c r="D35" s="115"/>
      <c r="E35" s="115"/>
      <c r="F35" s="116"/>
      <c r="G35" s="117"/>
      <c r="H35" s="118"/>
      <c r="I35" s="119"/>
      <c r="J35" s="115"/>
      <c r="K35" s="115"/>
      <c r="L35" s="116"/>
      <c r="M35" s="117"/>
      <c r="N35" s="118"/>
      <c r="O35" s="119"/>
      <c r="P35" s="119"/>
      <c r="Q35" s="119"/>
      <c r="R35" s="119"/>
      <c r="S35" s="119"/>
      <c r="T35" s="119"/>
      <c r="U35" s="119">
        <v>0</v>
      </c>
      <c r="V35" s="119"/>
      <c r="W35" s="119"/>
      <c r="X35" s="120"/>
      <c r="Y35" s="121"/>
      <c r="Z35" s="120"/>
      <c r="AA35" s="119"/>
      <c r="AB35" s="121"/>
      <c r="AC35" s="121"/>
      <c r="AD35" s="2"/>
      <c r="AG35" s="1" t="s">
        <v>25</v>
      </c>
    </row>
    <row r="36" spans="2:33" x14ac:dyDescent="0.25">
      <c r="C36" s="1" t="s">
        <v>32</v>
      </c>
      <c r="E36" s="131"/>
      <c r="G36" s="125"/>
      <c r="H36" s="118"/>
      <c r="I36" s="124"/>
      <c r="K36" s="131"/>
      <c r="M36" s="125"/>
      <c r="N36" s="118"/>
      <c r="O36" s="124"/>
      <c r="P36" s="124"/>
      <c r="Q36" s="124"/>
      <c r="R36" s="124"/>
      <c r="S36" s="124"/>
      <c r="T36" s="124"/>
      <c r="U36" s="124">
        <f>31600+3</f>
        <v>31603</v>
      </c>
      <c r="V36" s="124"/>
      <c r="W36" s="124"/>
      <c r="X36" s="120"/>
      <c r="Y36" s="124"/>
      <c r="Z36" s="120"/>
      <c r="AA36" s="124"/>
      <c r="AB36" s="124"/>
      <c r="AC36" s="124"/>
      <c r="AD36" s="2"/>
    </row>
    <row r="37" spans="2:33" s="114" customFormat="1" ht="15.75" x14ac:dyDescent="0.25">
      <c r="F37" s="126"/>
      <c r="G37" s="127"/>
      <c r="I37" s="128">
        <f>SUM(I27:I36)</f>
        <v>0</v>
      </c>
      <c r="L37" s="126"/>
      <c r="M37" s="127"/>
      <c r="O37" s="128">
        <f>SUM(O27:O36)</f>
        <v>0</v>
      </c>
      <c r="P37" s="116"/>
      <c r="Q37" s="116"/>
      <c r="R37" s="116"/>
      <c r="S37" s="116"/>
      <c r="T37" s="116"/>
      <c r="U37" s="128">
        <f>SUM(U27:U36)</f>
        <v>118853</v>
      </c>
      <c r="V37" s="116"/>
      <c r="W37" s="116"/>
      <c r="X37" s="123"/>
      <c r="Y37" s="116"/>
      <c r="Z37" s="123"/>
      <c r="AA37" s="128">
        <f>SUM(AA27:AA36)</f>
        <v>0</v>
      </c>
      <c r="AB37" s="129"/>
      <c r="AC37" s="125">
        <f>+I37+U37+AA37+O37</f>
        <v>118853</v>
      </c>
    </row>
    <row r="38" spans="2:33" x14ac:dyDescent="0.25">
      <c r="B38" s="2"/>
      <c r="C38" s="2"/>
      <c r="D38" s="2"/>
      <c r="E38" s="70"/>
      <c r="F38" s="2"/>
      <c r="G38" s="2"/>
      <c r="H38" s="2"/>
      <c r="I38" s="2"/>
      <c r="J38" s="2"/>
      <c r="K38" s="70"/>
      <c r="L38" s="2"/>
      <c r="M38" s="2"/>
      <c r="N38" s="2"/>
      <c r="O38" s="130"/>
      <c r="X38" s="70"/>
      <c r="AA38" s="2"/>
      <c r="AB38" s="130"/>
      <c r="AC38" s="131">
        <f>AC37-AC24</f>
        <v>0</v>
      </c>
    </row>
    <row r="39" spans="2:33" x14ac:dyDescent="0.25">
      <c r="B39" s="2"/>
      <c r="C39" s="2"/>
      <c r="D39" s="2"/>
      <c r="E39" s="70"/>
      <c r="F39" s="2"/>
      <c r="G39" s="2"/>
      <c r="H39" s="2"/>
      <c r="I39" s="129"/>
      <c r="J39" s="2"/>
      <c r="K39" s="70"/>
      <c r="L39" s="2"/>
      <c r="M39" s="2"/>
      <c r="N39" s="2"/>
      <c r="O39" s="129"/>
      <c r="X39" s="70"/>
      <c r="AA39" s="2"/>
      <c r="AB39" s="130"/>
      <c r="AC39" s="131"/>
    </row>
    <row r="40" spans="2:33" x14ac:dyDescent="0.25">
      <c r="E40" s="110"/>
      <c r="Q40" s="133"/>
      <c r="Y40" s="1"/>
      <c r="Z40" s="1"/>
    </row>
    <row r="41" spans="2:33" x14ac:dyDescent="0.25">
      <c r="S41" s="129"/>
      <c r="T41" s="129"/>
      <c r="U41" s="129"/>
      <c r="W41" s="130"/>
    </row>
  </sheetData>
  <mergeCells count="11">
    <mergeCell ref="Q3:T3"/>
    <mergeCell ref="C4:D4"/>
    <mergeCell ref="V6:AA6"/>
    <mergeCell ref="AB6:AB7"/>
    <mergeCell ref="AC6:AC7"/>
    <mergeCell ref="AE6:AE7"/>
    <mergeCell ref="B6:B7"/>
    <mergeCell ref="C6:C7"/>
    <mergeCell ref="D6:I6"/>
    <mergeCell ref="J6:O6"/>
    <mergeCell ref="P6:U6"/>
  </mergeCells>
  <pageMargins left="0" right="0" top="0" bottom="0" header="0" footer="0"/>
  <pageSetup paperSize="9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8">
    <pageSetUpPr fitToPage="1"/>
  </sheetPr>
  <dimension ref="A1:AO41"/>
  <sheetViews>
    <sheetView workbookViewId="0">
      <pane xSplit="3" topLeftCell="D1" activePane="topRight" state="frozen"/>
      <selection activeCell="G14" sqref="G14"/>
      <selection pane="topRight" activeCell="U3" sqref="U3"/>
    </sheetView>
  </sheetViews>
  <sheetFormatPr baseColWidth="10" defaultRowHeight="15" x14ac:dyDescent="0.25"/>
  <cols>
    <col min="1" max="1" width="1.7109375" style="1" customWidth="1"/>
    <col min="2" max="2" width="10" style="1" customWidth="1"/>
    <col min="3" max="3" width="29.140625" style="1" customWidth="1"/>
    <col min="4" max="4" width="5.7109375" style="1" customWidth="1"/>
    <col min="5" max="5" width="10.7109375" style="1" customWidth="1"/>
    <col min="6" max="6" width="5.7109375" style="1" customWidth="1"/>
    <col min="7" max="7" width="10.7109375" style="1" customWidth="1"/>
    <col min="8" max="8" width="5.7109375" style="1" customWidth="1"/>
    <col min="9" max="9" width="10.7109375" style="1" customWidth="1"/>
    <col min="10" max="10" width="5.7109375" style="1" hidden="1" customWidth="1"/>
    <col min="11" max="11" width="10.7109375" style="1" hidden="1" customWidth="1"/>
    <col min="12" max="12" width="5.7109375" style="1" hidden="1" customWidth="1"/>
    <col min="13" max="13" width="10.7109375" style="1" hidden="1" customWidth="1"/>
    <col min="14" max="14" width="5.7109375" style="1" hidden="1" customWidth="1"/>
    <col min="15" max="15" width="10.7109375" style="1" hidden="1" customWidth="1"/>
    <col min="16" max="16" width="5.7109375" style="2" customWidth="1"/>
    <col min="17" max="17" width="10.7109375" style="2" customWidth="1"/>
    <col min="18" max="18" width="5.7109375" style="2" customWidth="1"/>
    <col min="19" max="19" width="10.7109375" style="2" customWidth="1"/>
    <col min="20" max="20" width="5.7109375" style="2" customWidth="1"/>
    <col min="21" max="21" width="10.7109375" style="2" customWidth="1"/>
    <col min="22" max="22" width="5.7109375" style="2" customWidth="1"/>
    <col min="23" max="23" width="10.7109375" style="2" customWidth="1"/>
    <col min="24" max="24" width="5.7109375" style="2" customWidth="1"/>
    <col min="25" max="25" width="10.7109375" style="2" customWidth="1"/>
    <col min="26" max="26" width="5.7109375" style="2" customWidth="1"/>
    <col min="27" max="27" width="10.7109375" style="1" customWidth="1"/>
    <col min="28" max="28" width="9.5703125" style="1" customWidth="1"/>
    <col min="29" max="29" width="14.5703125" style="1" bestFit="1" customWidth="1"/>
    <col min="30" max="30" width="3.28515625" style="1" customWidth="1"/>
    <col min="31" max="31" width="11.42578125" style="1"/>
    <col min="32" max="32" width="3.7109375" style="1" customWidth="1"/>
    <col min="33" max="33" width="10.140625" style="1" customWidth="1"/>
    <col min="34" max="34" width="3.7109375" style="1" customWidth="1"/>
    <col min="35" max="35" width="11.42578125" style="1"/>
    <col min="36" max="36" width="3.7109375" style="1" customWidth="1"/>
    <col min="37" max="37" width="5.7109375" style="1" customWidth="1"/>
    <col min="38" max="38" width="3.7109375" style="1" customWidth="1"/>
    <col min="39" max="39" width="5.7109375" style="1" customWidth="1"/>
    <col min="40" max="40" width="3.7109375" style="1" customWidth="1"/>
    <col min="41" max="41" width="5.7109375" style="1" customWidth="1"/>
    <col min="42" max="16384" width="11.42578125" style="1"/>
  </cols>
  <sheetData>
    <row r="1" spans="1:39" ht="5.25" customHeight="1" x14ac:dyDescent="0.25">
      <c r="Y1" s="1"/>
      <c r="Z1" s="1"/>
    </row>
    <row r="2" spans="1:39" ht="21" x14ac:dyDescent="0.35">
      <c r="B2" s="3" t="s">
        <v>0</v>
      </c>
      <c r="P2" s="1"/>
      <c r="Q2" s="4"/>
      <c r="Z2" s="1"/>
    </row>
    <row r="3" spans="1:39" ht="15" customHeight="1" x14ac:dyDescent="0.25">
      <c r="A3" s="5"/>
      <c r="B3" s="6" t="s">
        <v>1</v>
      </c>
      <c r="C3" s="7"/>
      <c r="D3" s="7"/>
      <c r="E3" s="7"/>
      <c r="F3" s="7"/>
      <c r="P3" s="1"/>
      <c r="Q3" s="353"/>
      <c r="R3" s="353"/>
      <c r="S3" s="353"/>
      <c r="T3" s="353"/>
      <c r="U3" s="149"/>
      <c r="V3" s="149"/>
      <c r="Z3" s="1"/>
    </row>
    <row r="4" spans="1:39" ht="18" customHeight="1" x14ac:dyDescent="0.25">
      <c r="B4" s="150" t="s">
        <v>2</v>
      </c>
      <c r="C4" s="354" t="s">
        <v>56</v>
      </c>
      <c r="D4" s="355"/>
      <c r="E4" s="150"/>
      <c r="F4" s="150"/>
      <c r="P4" s="1"/>
      <c r="Q4" s="9"/>
      <c r="R4" s="10"/>
      <c r="S4" s="9"/>
      <c r="T4" s="9"/>
      <c r="U4" s="9"/>
      <c r="V4" s="9"/>
      <c r="Z4" s="1"/>
    </row>
    <row r="5" spans="1:39" ht="15.75" thickBot="1" x14ac:dyDescent="0.3">
      <c r="A5" s="150"/>
      <c r="B5" s="150"/>
      <c r="C5" s="150"/>
      <c r="D5" s="189"/>
      <c r="E5" s="189"/>
      <c r="J5" s="189"/>
      <c r="K5" s="189"/>
      <c r="P5" s="1"/>
      <c r="Q5" s="1"/>
      <c r="R5" s="1"/>
      <c r="S5" s="1"/>
      <c r="T5" s="1"/>
      <c r="U5" s="1"/>
      <c r="V5" s="9"/>
      <c r="W5" s="9"/>
      <c r="X5" s="9"/>
      <c r="Y5" s="9"/>
      <c r="Z5" s="9"/>
      <c r="AA5" s="9"/>
      <c r="AB5" s="2"/>
      <c r="AC5" s="2"/>
      <c r="AD5" s="2"/>
    </row>
    <row r="6" spans="1:39" ht="27.75" customHeight="1" thickBot="1" x14ac:dyDescent="0.3">
      <c r="B6" s="356" t="s">
        <v>3</v>
      </c>
      <c r="C6" s="343" t="s">
        <v>4</v>
      </c>
      <c r="D6" s="358" t="s">
        <v>36</v>
      </c>
      <c r="E6" s="359"/>
      <c r="F6" s="360"/>
      <c r="G6" s="360"/>
      <c r="H6" s="360"/>
      <c r="I6" s="361"/>
      <c r="J6" s="370" t="s">
        <v>47</v>
      </c>
      <c r="K6" s="371"/>
      <c r="L6" s="372"/>
      <c r="M6" s="372"/>
      <c r="N6" s="372"/>
      <c r="O6" s="373"/>
      <c r="P6" s="362" t="s">
        <v>54</v>
      </c>
      <c r="Q6" s="363"/>
      <c r="R6" s="364"/>
      <c r="S6" s="364"/>
      <c r="T6" s="364"/>
      <c r="U6" s="365"/>
      <c r="V6" s="366" t="s">
        <v>42</v>
      </c>
      <c r="W6" s="367"/>
      <c r="X6" s="368"/>
      <c r="Y6" s="368"/>
      <c r="Z6" s="368"/>
      <c r="AA6" s="369"/>
      <c r="AB6" s="349" t="s">
        <v>5</v>
      </c>
      <c r="AC6" s="349" t="s">
        <v>6</v>
      </c>
      <c r="AD6" s="2"/>
      <c r="AE6" s="351" t="s">
        <v>7</v>
      </c>
      <c r="AF6" s="2"/>
    </row>
    <row r="7" spans="1:39" ht="25.5" customHeight="1" thickBot="1" x14ac:dyDescent="0.3">
      <c r="B7" s="357"/>
      <c r="C7" s="344"/>
      <c r="D7" s="11" t="s">
        <v>8</v>
      </c>
      <c r="E7" s="12" t="s">
        <v>9</v>
      </c>
      <c r="F7" s="13" t="s">
        <v>8</v>
      </c>
      <c r="G7" s="14" t="s">
        <v>9</v>
      </c>
      <c r="H7" s="11" t="s">
        <v>5</v>
      </c>
      <c r="I7" s="14" t="s">
        <v>10</v>
      </c>
      <c r="J7" s="190" t="s">
        <v>8</v>
      </c>
      <c r="K7" s="305" t="s">
        <v>9</v>
      </c>
      <c r="L7" s="191" t="s">
        <v>8</v>
      </c>
      <c r="M7" s="192" t="s">
        <v>9</v>
      </c>
      <c r="N7" s="190" t="s">
        <v>5</v>
      </c>
      <c r="O7" s="192" t="s">
        <v>10</v>
      </c>
      <c r="P7" s="15" t="s">
        <v>8</v>
      </c>
      <c r="Q7" s="16" t="s">
        <v>9</v>
      </c>
      <c r="R7" s="17" t="s">
        <v>8</v>
      </c>
      <c r="S7" s="16" t="s">
        <v>9</v>
      </c>
      <c r="T7" s="15" t="s">
        <v>5</v>
      </c>
      <c r="U7" s="16" t="s">
        <v>10</v>
      </c>
      <c r="V7" s="18" t="s">
        <v>8</v>
      </c>
      <c r="W7" s="19" t="s">
        <v>9</v>
      </c>
      <c r="X7" s="20" t="s">
        <v>8</v>
      </c>
      <c r="Y7" s="21" t="s">
        <v>9</v>
      </c>
      <c r="Z7" s="18" t="s">
        <v>5</v>
      </c>
      <c r="AA7" s="21" t="s">
        <v>10</v>
      </c>
      <c r="AB7" s="350"/>
      <c r="AC7" s="350"/>
      <c r="AD7" s="2"/>
      <c r="AE7" s="352"/>
      <c r="AG7" s="22" t="s">
        <v>11</v>
      </c>
      <c r="AI7" s="22" t="s">
        <v>12</v>
      </c>
    </row>
    <row r="8" spans="1:39" x14ac:dyDescent="0.25">
      <c r="B8" s="173">
        <v>6320</v>
      </c>
      <c r="C8" s="157" t="s">
        <v>13</v>
      </c>
      <c r="D8" s="24"/>
      <c r="E8" s="25">
        <f>+D8*B8</f>
        <v>0</v>
      </c>
      <c r="F8" s="26">
        <v>7</v>
      </c>
      <c r="G8" s="27">
        <f>6320*7</f>
        <v>44240</v>
      </c>
      <c r="H8" s="28">
        <f>D8+F8</f>
        <v>7</v>
      </c>
      <c r="I8" s="29">
        <f>E8+G8</f>
        <v>44240</v>
      </c>
      <c r="J8" s="199"/>
      <c r="K8" s="202">
        <f>+J8*B8</f>
        <v>0</v>
      </c>
      <c r="L8" s="222"/>
      <c r="M8" s="202"/>
      <c r="N8" s="193">
        <f>J8+L8</f>
        <v>0</v>
      </c>
      <c r="O8" s="194">
        <f>K8+M8</f>
        <v>0</v>
      </c>
      <c r="P8" s="30"/>
      <c r="Q8" s="31">
        <f>+P8*B8</f>
        <v>0</v>
      </c>
      <c r="R8" s="32">
        <v>14</v>
      </c>
      <c r="S8" s="33">
        <f>6320*14</f>
        <v>88480</v>
      </c>
      <c r="T8" s="34">
        <f>P8+R8</f>
        <v>14</v>
      </c>
      <c r="U8" s="35">
        <f>Q8+S8</f>
        <v>88480</v>
      </c>
      <c r="V8" s="36"/>
      <c r="W8" s="37">
        <f t="shared" ref="W8:W19" si="0">+V8*B8</f>
        <v>0</v>
      </c>
      <c r="X8" s="38">
        <v>5</v>
      </c>
      <c r="Y8" s="39">
        <f>6320*5</f>
        <v>31600</v>
      </c>
      <c r="Z8" s="40">
        <f>V8+X8</f>
        <v>5</v>
      </c>
      <c r="AA8" s="41">
        <f>Y8+W8</f>
        <v>31600</v>
      </c>
      <c r="AB8" s="152">
        <f>+D8+F8+P8+R8+V8+X8+J8+L8</f>
        <v>26</v>
      </c>
      <c r="AC8" s="220">
        <f>+E8+G8+Q8+S8+W8+Y8+K8+M8</f>
        <v>164320</v>
      </c>
      <c r="AD8" s="44"/>
      <c r="AE8" s="45"/>
      <c r="AG8" s="187">
        <f>E8+W8+Q8+K8</f>
        <v>0</v>
      </c>
      <c r="AI8" s="156">
        <f>G8+Y8+S8+M8</f>
        <v>164320</v>
      </c>
      <c r="AK8" s="139">
        <f>F8+R8+X8+L8</f>
        <v>26</v>
      </c>
      <c r="AM8" s="139">
        <f>+D8+P8+V8+J8</f>
        <v>0</v>
      </c>
    </row>
    <row r="9" spans="1:39" x14ac:dyDescent="0.25">
      <c r="B9" s="174">
        <v>6320</v>
      </c>
      <c r="C9" s="46" t="s">
        <v>14</v>
      </c>
      <c r="D9" s="47"/>
      <c r="E9" s="48">
        <f t="shared" ref="E9:E19" si="1">+D9*B9</f>
        <v>0</v>
      </c>
      <c r="F9" s="49"/>
      <c r="G9" s="50"/>
      <c r="H9" s="51">
        <f>D9+F9</f>
        <v>0</v>
      </c>
      <c r="I9" s="52">
        <f>G9+E9</f>
        <v>0</v>
      </c>
      <c r="J9" s="203"/>
      <c r="K9" s="241">
        <f t="shared" ref="K9:K19" si="2">+J9*B9</f>
        <v>0</v>
      </c>
      <c r="L9" s="223"/>
      <c r="M9" s="206"/>
      <c r="N9" s="195">
        <f>J9+L9</f>
        <v>0</v>
      </c>
      <c r="O9" s="196">
        <f>M9+K9</f>
        <v>0</v>
      </c>
      <c r="P9" s="53"/>
      <c r="Q9" s="54">
        <f t="shared" ref="Q9:Q19" si="3">+P9*B9</f>
        <v>0</v>
      </c>
      <c r="R9" s="55"/>
      <c r="S9" s="56"/>
      <c r="T9" s="57">
        <f>P9+R9</f>
        <v>0</v>
      </c>
      <c r="U9" s="58">
        <f>S9+Q9</f>
        <v>0</v>
      </c>
      <c r="V9" s="59"/>
      <c r="W9" s="60">
        <f t="shared" si="0"/>
        <v>0</v>
      </c>
      <c r="X9" s="61"/>
      <c r="Y9" s="62"/>
      <c r="Z9" s="63">
        <f>V9+X9</f>
        <v>0</v>
      </c>
      <c r="AA9" s="41">
        <f>Y9+W9</f>
        <v>0</v>
      </c>
      <c r="AB9" s="42">
        <f t="shared" ref="AB9:AB22" si="4">+D9+F9+P9+R9+V9+X9+J9+L9</f>
        <v>0</v>
      </c>
      <c r="AC9" s="188">
        <f t="shared" ref="AC9:AC22" si="5">+E9+G9+Q9+S9+W9+Y9+K9+M9</f>
        <v>0</v>
      </c>
      <c r="AD9" s="44"/>
      <c r="AE9" s="64"/>
      <c r="AG9" s="218">
        <f t="shared" ref="AG9:AG22" si="6">E9+W9+Q9+K9</f>
        <v>0</v>
      </c>
      <c r="AI9" s="64">
        <f t="shared" ref="AI9:AI22" si="7">G9+Y9+S9+M9</f>
        <v>0</v>
      </c>
      <c r="AK9" s="142">
        <f t="shared" ref="AK9:AK22" si="8">F9+R9+X9+L9</f>
        <v>0</v>
      </c>
      <c r="AM9" s="142">
        <f t="shared" ref="AM9:AM22" si="9">+D9+P9+V9+J9</f>
        <v>0</v>
      </c>
    </row>
    <row r="10" spans="1:39" x14ac:dyDescent="0.25">
      <c r="B10" s="174">
        <v>6320</v>
      </c>
      <c r="C10" s="153" t="s">
        <v>16</v>
      </c>
      <c r="D10" s="47"/>
      <c r="E10" s="48">
        <f t="shared" si="1"/>
        <v>0</v>
      </c>
      <c r="F10" s="49"/>
      <c r="G10" s="50"/>
      <c r="H10" s="51">
        <f t="shared" ref="H10:H22" si="10">D10+F10</f>
        <v>0</v>
      </c>
      <c r="I10" s="52">
        <f t="shared" ref="I10:I22" si="11">G10+E10</f>
        <v>0</v>
      </c>
      <c r="J10" s="203"/>
      <c r="K10" s="241">
        <f t="shared" si="2"/>
        <v>0</v>
      </c>
      <c r="L10" s="223"/>
      <c r="M10" s="206"/>
      <c r="N10" s="195">
        <f t="shared" ref="N10:N22" si="12">J10+L10</f>
        <v>0</v>
      </c>
      <c r="O10" s="196">
        <f t="shared" ref="O10:O22" si="13">M10+K10</f>
        <v>0</v>
      </c>
      <c r="P10" s="53"/>
      <c r="Q10" s="54">
        <f t="shared" si="3"/>
        <v>0</v>
      </c>
      <c r="R10" s="55">
        <v>5</v>
      </c>
      <c r="S10" s="56">
        <f>6320*4+1264</f>
        <v>26544</v>
      </c>
      <c r="T10" s="57">
        <f t="shared" ref="T10:T22" si="14">P10+R10</f>
        <v>5</v>
      </c>
      <c r="U10" s="58">
        <f t="shared" ref="U10:U22" si="15">S10+Q10</f>
        <v>26544</v>
      </c>
      <c r="V10" s="59"/>
      <c r="W10" s="60">
        <f t="shared" si="0"/>
        <v>0</v>
      </c>
      <c r="X10" s="61">
        <v>5</v>
      </c>
      <c r="Y10" s="62">
        <f>6320*5</f>
        <v>31600</v>
      </c>
      <c r="Z10" s="63">
        <f t="shared" ref="Z10:Z22" si="16">V10+X10</f>
        <v>5</v>
      </c>
      <c r="AA10" s="41">
        <f t="shared" ref="AA10:AA22" si="17">Y10+W10</f>
        <v>31600</v>
      </c>
      <c r="AB10" s="152">
        <f t="shared" si="4"/>
        <v>10</v>
      </c>
      <c r="AC10" s="220">
        <f t="shared" si="5"/>
        <v>58144</v>
      </c>
      <c r="AD10" s="44"/>
      <c r="AE10" s="151">
        <v>5056</v>
      </c>
      <c r="AG10" s="218">
        <f t="shared" si="6"/>
        <v>0</v>
      </c>
      <c r="AI10" s="151">
        <f t="shared" si="7"/>
        <v>58144</v>
      </c>
      <c r="AK10" s="142">
        <f t="shared" si="8"/>
        <v>10</v>
      </c>
      <c r="AM10" s="142">
        <f t="shared" si="9"/>
        <v>0</v>
      </c>
    </row>
    <row r="11" spans="1:39" x14ac:dyDescent="0.25">
      <c r="B11" s="174">
        <v>6320</v>
      </c>
      <c r="C11" s="153" t="s">
        <v>17</v>
      </c>
      <c r="D11" s="65"/>
      <c r="E11" s="48">
        <f t="shared" si="1"/>
        <v>0</v>
      </c>
      <c r="F11" s="49"/>
      <c r="G11" s="50"/>
      <c r="H11" s="51">
        <f t="shared" si="10"/>
        <v>0</v>
      </c>
      <c r="I11" s="52">
        <f t="shared" si="11"/>
        <v>0</v>
      </c>
      <c r="J11" s="207"/>
      <c r="K11" s="241">
        <f t="shared" si="2"/>
        <v>0</v>
      </c>
      <c r="L11" s="223"/>
      <c r="M11" s="206"/>
      <c r="N11" s="195">
        <f t="shared" si="12"/>
        <v>0</v>
      </c>
      <c r="O11" s="196">
        <f t="shared" si="13"/>
        <v>0</v>
      </c>
      <c r="P11" s="66"/>
      <c r="Q11" s="54">
        <f t="shared" si="3"/>
        <v>0</v>
      </c>
      <c r="R11" s="67">
        <v>5</v>
      </c>
      <c r="S11" s="56">
        <f>6320*5</f>
        <v>31600</v>
      </c>
      <c r="T11" s="57">
        <f t="shared" si="14"/>
        <v>5</v>
      </c>
      <c r="U11" s="58">
        <f t="shared" si="15"/>
        <v>31600</v>
      </c>
      <c r="V11" s="68"/>
      <c r="W11" s="60">
        <f t="shared" si="0"/>
        <v>0</v>
      </c>
      <c r="X11" s="69">
        <v>8</v>
      </c>
      <c r="Y11" s="62">
        <f>6320*8</f>
        <v>50560</v>
      </c>
      <c r="Z11" s="63">
        <f t="shared" si="16"/>
        <v>8</v>
      </c>
      <c r="AA11" s="41">
        <f t="shared" si="17"/>
        <v>50560</v>
      </c>
      <c r="AB11" s="152">
        <f t="shared" si="4"/>
        <v>13</v>
      </c>
      <c r="AC11" s="220">
        <f t="shared" si="5"/>
        <v>82160</v>
      </c>
      <c r="AD11" s="70"/>
      <c r="AE11" s="64"/>
      <c r="AG11" s="218">
        <f t="shared" si="6"/>
        <v>0</v>
      </c>
      <c r="AI11" s="151">
        <f t="shared" si="7"/>
        <v>82160</v>
      </c>
      <c r="AK11" s="142">
        <f t="shared" si="8"/>
        <v>13</v>
      </c>
      <c r="AM11" s="142">
        <f t="shared" si="9"/>
        <v>0</v>
      </c>
    </row>
    <row r="12" spans="1:39" x14ac:dyDescent="0.25">
      <c r="B12" s="174">
        <v>6320</v>
      </c>
      <c r="C12" s="46" t="s">
        <v>18</v>
      </c>
      <c r="D12" s="65"/>
      <c r="E12" s="48">
        <f t="shared" si="1"/>
        <v>0</v>
      </c>
      <c r="F12" s="49"/>
      <c r="G12" s="50"/>
      <c r="H12" s="51">
        <f t="shared" si="10"/>
        <v>0</v>
      </c>
      <c r="I12" s="52">
        <f t="shared" si="11"/>
        <v>0</v>
      </c>
      <c r="J12" s="207"/>
      <c r="K12" s="241">
        <f t="shared" si="2"/>
        <v>0</v>
      </c>
      <c r="L12" s="223"/>
      <c r="M12" s="206"/>
      <c r="N12" s="195">
        <f t="shared" si="12"/>
        <v>0</v>
      </c>
      <c r="O12" s="196">
        <f t="shared" si="13"/>
        <v>0</v>
      </c>
      <c r="P12" s="66"/>
      <c r="Q12" s="54">
        <f t="shared" si="3"/>
        <v>0</v>
      </c>
      <c r="R12" s="67"/>
      <c r="S12" s="56"/>
      <c r="T12" s="57">
        <f t="shared" si="14"/>
        <v>0</v>
      </c>
      <c r="U12" s="58">
        <f t="shared" si="15"/>
        <v>0</v>
      </c>
      <c r="V12" s="68"/>
      <c r="W12" s="60">
        <f t="shared" si="0"/>
        <v>0</v>
      </c>
      <c r="X12" s="69"/>
      <c r="Y12" s="62"/>
      <c r="Z12" s="63">
        <f t="shared" si="16"/>
        <v>0</v>
      </c>
      <c r="AA12" s="41">
        <f t="shared" si="17"/>
        <v>0</v>
      </c>
      <c r="AB12" s="42">
        <f t="shared" si="4"/>
        <v>0</v>
      </c>
      <c r="AC12" s="188">
        <f t="shared" si="5"/>
        <v>0</v>
      </c>
      <c r="AD12" s="71"/>
      <c r="AE12" s="64"/>
      <c r="AG12" s="218">
        <f t="shared" si="6"/>
        <v>0</v>
      </c>
      <c r="AI12" s="64">
        <f t="shared" si="7"/>
        <v>0</v>
      </c>
      <c r="AK12" s="142">
        <f t="shared" si="8"/>
        <v>0</v>
      </c>
      <c r="AM12" s="142">
        <f t="shared" si="9"/>
        <v>0</v>
      </c>
    </row>
    <row r="13" spans="1:39" x14ac:dyDescent="0.25">
      <c r="B13" s="174">
        <v>6320</v>
      </c>
      <c r="C13" s="46" t="s">
        <v>19</v>
      </c>
      <c r="D13" s="65"/>
      <c r="E13" s="48">
        <f t="shared" si="1"/>
        <v>0</v>
      </c>
      <c r="F13" s="49"/>
      <c r="G13" s="50"/>
      <c r="H13" s="51">
        <f t="shared" si="10"/>
        <v>0</v>
      </c>
      <c r="I13" s="52">
        <f t="shared" si="11"/>
        <v>0</v>
      </c>
      <c r="J13" s="207"/>
      <c r="K13" s="241">
        <f t="shared" si="2"/>
        <v>0</v>
      </c>
      <c r="L13" s="223"/>
      <c r="M13" s="206"/>
      <c r="N13" s="195">
        <f t="shared" si="12"/>
        <v>0</v>
      </c>
      <c r="O13" s="196">
        <f t="shared" si="13"/>
        <v>0</v>
      </c>
      <c r="P13" s="66"/>
      <c r="Q13" s="54">
        <f t="shared" si="3"/>
        <v>0</v>
      </c>
      <c r="R13" s="67"/>
      <c r="S13" s="56"/>
      <c r="T13" s="57">
        <f t="shared" si="14"/>
        <v>0</v>
      </c>
      <c r="U13" s="58">
        <f t="shared" si="15"/>
        <v>0</v>
      </c>
      <c r="V13" s="68"/>
      <c r="W13" s="60">
        <f t="shared" si="0"/>
        <v>0</v>
      </c>
      <c r="X13" s="69"/>
      <c r="Y13" s="62"/>
      <c r="Z13" s="63">
        <f t="shared" si="16"/>
        <v>0</v>
      </c>
      <c r="AA13" s="41">
        <f t="shared" si="17"/>
        <v>0</v>
      </c>
      <c r="AB13" s="42">
        <f t="shared" si="4"/>
        <v>0</v>
      </c>
      <c r="AC13" s="188">
        <f t="shared" si="5"/>
        <v>0</v>
      </c>
      <c r="AD13" s="70"/>
      <c r="AE13" s="64"/>
      <c r="AG13" s="218">
        <f t="shared" si="6"/>
        <v>0</v>
      </c>
      <c r="AI13" s="64">
        <f t="shared" si="7"/>
        <v>0</v>
      </c>
      <c r="AK13" s="142">
        <f t="shared" si="8"/>
        <v>0</v>
      </c>
      <c r="AM13" s="142">
        <f t="shared" si="9"/>
        <v>0</v>
      </c>
    </row>
    <row r="14" spans="1:39" x14ac:dyDescent="0.25">
      <c r="B14" s="174">
        <v>6320</v>
      </c>
      <c r="C14" s="153" t="s">
        <v>20</v>
      </c>
      <c r="D14" s="65"/>
      <c r="E14" s="48">
        <f t="shared" si="1"/>
        <v>0</v>
      </c>
      <c r="F14" s="49"/>
      <c r="G14" s="50"/>
      <c r="H14" s="51">
        <f t="shared" si="10"/>
        <v>0</v>
      </c>
      <c r="I14" s="52">
        <f t="shared" si="11"/>
        <v>0</v>
      </c>
      <c r="J14" s="207"/>
      <c r="K14" s="241">
        <f t="shared" si="2"/>
        <v>0</v>
      </c>
      <c r="L14" s="223"/>
      <c r="M14" s="206"/>
      <c r="N14" s="195">
        <f t="shared" si="12"/>
        <v>0</v>
      </c>
      <c r="O14" s="196">
        <f t="shared" si="13"/>
        <v>0</v>
      </c>
      <c r="P14" s="66"/>
      <c r="Q14" s="54">
        <f t="shared" si="3"/>
        <v>0</v>
      </c>
      <c r="R14" s="67">
        <v>1</v>
      </c>
      <c r="S14" s="56">
        <v>6320</v>
      </c>
      <c r="T14" s="57">
        <f t="shared" si="14"/>
        <v>1</v>
      </c>
      <c r="U14" s="58">
        <f t="shared" si="15"/>
        <v>6320</v>
      </c>
      <c r="V14" s="68"/>
      <c r="W14" s="60">
        <f t="shared" si="0"/>
        <v>0</v>
      </c>
      <c r="X14" s="69">
        <v>3</v>
      </c>
      <c r="Y14" s="62">
        <f>6320*3</f>
        <v>18960</v>
      </c>
      <c r="Z14" s="63">
        <f t="shared" si="16"/>
        <v>3</v>
      </c>
      <c r="AA14" s="41">
        <f t="shared" si="17"/>
        <v>18960</v>
      </c>
      <c r="AB14" s="152">
        <f t="shared" si="4"/>
        <v>4</v>
      </c>
      <c r="AC14" s="220">
        <f t="shared" si="5"/>
        <v>25280</v>
      </c>
      <c r="AD14" s="70"/>
      <c r="AE14" s="64"/>
      <c r="AG14" s="218">
        <f t="shared" si="6"/>
        <v>0</v>
      </c>
      <c r="AI14" s="151">
        <f t="shared" si="7"/>
        <v>25280</v>
      </c>
      <c r="AK14" s="142">
        <f t="shared" si="8"/>
        <v>4</v>
      </c>
      <c r="AM14" s="142">
        <f t="shared" si="9"/>
        <v>0</v>
      </c>
    </row>
    <row r="15" spans="1:39" x14ac:dyDescent="0.25">
      <c r="B15" s="174">
        <v>6320</v>
      </c>
      <c r="C15" s="46" t="s">
        <v>21</v>
      </c>
      <c r="D15" s="65"/>
      <c r="E15" s="48">
        <f t="shared" si="1"/>
        <v>0</v>
      </c>
      <c r="F15" s="49"/>
      <c r="G15" s="50"/>
      <c r="H15" s="51">
        <f t="shared" si="10"/>
        <v>0</v>
      </c>
      <c r="I15" s="52">
        <f t="shared" si="11"/>
        <v>0</v>
      </c>
      <c r="J15" s="207"/>
      <c r="K15" s="241">
        <f t="shared" si="2"/>
        <v>0</v>
      </c>
      <c r="L15" s="223"/>
      <c r="M15" s="206"/>
      <c r="N15" s="195">
        <f t="shared" si="12"/>
        <v>0</v>
      </c>
      <c r="O15" s="196">
        <f t="shared" si="13"/>
        <v>0</v>
      </c>
      <c r="P15" s="66"/>
      <c r="Q15" s="54">
        <f t="shared" si="3"/>
        <v>0</v>
      </c>
      <c r="R15" s="67"/>
      <c r="S15" s="56"/>
      <c r="T15" s="57">
        <f t="shared" si="14"/>
        <v>0</v>
      </c>
      <c r="U15" s="58">
        <f t="shared" si="15"/>
        <v>0</v>
      </c>
      <c r="V15" s="68"/>
      <c r="W15" s="60">
        <f t="shared" si="0"/>
        <v>0</v>
      </c>
      <c r="X15" s="69"/>
      <c r="Y15" s="62"/>
      <c r="Z15" s="63">
        <f t="shared" si="16"/>
        <v>0</v>
      </c>
      <c r="AA15" s="41">
        <f t="shared" si="17"/>
        <v>0</v>
      </c>
      <c r="AB15" s="42">
        <f t="shared" si="4"/>
        <v>0</v>
      </c>
      <c r="AC15" s="188">
        <f t="shared" si="5"/>
        <v>0</v>
      </c>
      <c r="AD15" s="70"/>
      <c r="AE15" s="64"/>
      <c r="AG15" s="218">
        <f t="shared" si="6"/>
        <v>0</v>
      </c>
      <c r="AI15" s="64">
        <f t="shared" si="7"/>
        <v>0</v>
      </c>
      <c r="AK15" s="142">
        <f t="shared" si="8"/>
        <v>0</v>
      </c>
      <c r="AM15" s="142">
        <f t="shared" si="9"/>
        <v>0</v>
      </c>
    </row>
    <row r="16" spans="1:39" x14ac:dyDescent="0.25">
      <c r="B16" s="174" t="s">
        <v>26</v>
      </c>
      <c r="C16" s="46" t="s">
        <v>33</v>
      </c>
      <c r="D16" s="65"/>
      <c r="E16" s="48">
        <v>0</v>
      </c>
      <c r="F16" s="49"/>
      <c r="G16" s="50"/>
      <c r="H16" s="51">
        <f t="shared" si="10"/>
        <v>0</v>
      </c>
      <c r="I16" s="52">
        <f t="shared" si="11"/>
        <v>0</v>
      </c>
      <c r="J16" s="207"/>
      <c r="K16" s="241">
        <v>0</v>
      </c>
      <c r="L16" s="223"/>
      <c r="M16" s="206"/>
      <c r="N16" s="195">
        <f t="shared" si="12"/>
        <v>0</v>
      </c>
      <c r="O16" s="196">
        <f t="shared" si="13"/>
        <v>0</v>
      </c>
      <c r="P16" s="66"/>
      <c r="Q16" s="54">
        <v>0</v>
      </c>
      <c r="R16" s="67"/>
      <c r="S16" s="56"/>
      <c r="T16" s="57">
        <f t="shared" si="14"/>
        <v>0</v>
      </c>
      <c r="U16" s="58">
        <v>0</v>
      </c>
      <c r="V16" s="68"/>
      <c r="W16" s="60">
        <v>0</v>
      </c>
      <c r="X16" s="69"/>
      <c r="Y16" s="62"/>
      <c r="Z16" s="63">
        <f>+X16+V16</f>
        <v>0</v>
      </c>
      <c r="AA16" s="41">
        <f>+Y16+W16</f>
        <v>0</v>
      </c>
      <c r="AB16" s="42">
        <f t="shared" si="4"/>
        <v>0</v>
      </c>
      <c r="AC16" s="188">
        <f t="shared" si="5"/>
        <v>0</v>
      </c>
      <c r="AD16" s="70"/>
      <c r="AE16" s="64"/>
      <c r="AG16" s="218">
        <f t="shared" si="6"/>
        <v>0</v>
      </c>
      <c r="AI16" s="64">
        <f t="shared" si="7"/>
        <v>0</v>
      </c>
      <c r="AK16" s="142">
        <f t="shared" si="8"/>
        <v>0</v>
      </c>
      <c r="AM16" s="142">
        <f t="shared" si="9"/>
        <v>0</v>
      </c>
    </row>
    <row r="17" spans="2:41" x14ac:dyDescent="0.25">
      <c r="B17" s="175">
        <v>14010</v>
      </c>
      <c r="C17" s="46" t="s">
        <v>23</v>
      </c>
      <c r="D17" s="65"/>
      <c r="E17" s="48">
        <f t="shared" si="1"/>
        <v>0</v>
      </c>
      <c r="F17" s="49"/>
      <c r="G17" s="50"/>
      <c r="H17" s="51">
        <f t="shared" si="10"/>
        <v>0</v>
      </c>
      <c r="I17" s="52">
        <f t="shared" si="11"/>
        <v>0</v>
      </c>
      <c r="J17" s="207"/>
      <c r="K17" s="241">
        <f t="shared" si="2"/>
        <v>0</v>
      </c>
      <c r="L17" s="223"/>
      <c r="M17" s="206"/>
      <c r="N17" s="195">
        <f t="shared" si="12"/>
        <v>0</v>
      </c>
      <c r="O17" s="196">
        <f t="shared" si="13"/>
        <v>0</v>
      </c>
      <c r="P17" s="66"/>
      <c r="Q17" s="54">
        <f t="shared" si="3"/>
        <v>0</v>
      </c>
      <c r="R17" s="67"/>
      <c r="S17" s="56"/>
      <c r="T17" s="57">
        <f t="shared" si="14"/>
        <v>0</v>
      </c>
      <c r="U17" s="58">
        <f t="shared" si="15"/>
        <v>0</v>
      </c>
      <c r="V17" s="68"/>
      <c r="W17" s="60">
        <f t="shared" si="0"/>
        <v>0</v>
      </c>
      <c r="X17" s="69"/>
      <c r="Y17" s="62"/>
      <c r="Z17" s="63">
        <f t="shared" si="16"/>
        <v>0</v>
      </c>
      <c r="AA17" s="41">
        <f t="shared" si="17"/>
        <v>0</v>
      </c>
      <c r="AB17" s="42">
        <f t="shared" si="4"/>
        <v>0</v>
      </c>
      <c r="AC17" s="188">
        <f t="shared" si="5"/>
        <v>0</v>
      </c>
      <c r="AD17" s="70"/>
      <c r="AE17" s="64"/>
      <c r="AG17" s="218">
        <f t="shared" si="6"/>
        <v>0</v>
      </c>
      <c r="AI17" s="64">
        <f t="shared" si="7"/>
        <v>0</v>
      </c>
      <c r="AK17" s="142">
        <f t="shared" si="8"/>
        <v>0</v>
      </c>
      <c r="AM17" s="142">
        <f t="shared" si="9"/>
        <v>0</v>
      </c>
    </row>
    <row r="18" spans="2:41" x14ac:dyDescent="0.25">
      <c r="B18" s="174">
        <v>11870</v>
      </c>
      <c r="C18" s="46" t="s">
        <v>24</v>
      </c>
      <c r="D18" s="65"/>
      <c r="E18" s="48">
        <f t="shared" si="1"/>
        <v>0</v>
      </c>
      <c r="F18" s="49"/>
      <c r="G18" s="50"/>
      <c r="H18" s="51">
        <f t="shared" si="10"/>
        <v>0</v>
      </c>
      <c r="I18" s="52">
        <f t="shared" si="11"/>
        <v>0</v>
      </c>
      <c r="J18" s="207"/>
      <c r="K18" s="241">
        <f t="shared" si="2"/>
        <v>0</v>
      </c>
      <c r="L18" s="223"/>
      <c r="M18" s="206"/>
      <c r="N18" s="195">
        <f t="shared" si="12"/>
        <v>0</v>
      </c>
      <c r="O18" s="196">
        <f t="shared" si="13"/>
        <v>0</v>
      </c>
      <c r="P18" s="66"/>
      <c r="Q18" s="54">
        <f t="shared" si="3"/>
        <v>0</v>
      </c>
      <c r="R18" s="67"/>
      <c r="S18" s="56"/>
      <c r="T18" s="57">
        <f t="shared" si="14"/>
        <v>0</v>
      </c>
      <c r="U18" s="58">
        <f t="shared" si="15"/>
        <v>0</v>
      </c>
      <c r="V18" s="68"/>
      <c r="W18" s="60">
        <f t="shared" si="0"/>
        <v>0</v>
      </c>
      <c r="X18" s="69"/>
      <c r="Y18" s="62"/>
      <c r="Z18" s="63">
        <f t="shared" si="16"/>
        <v>0</v>
      </c>
      <c r="AA18" s="41">
        <f t="shared" si="17"/>
        <v>0</v>
      </c>
      <c r="AB18" s="42">
        <f t="shared" si="4"/>
        <v>0</v>
      </c>
      <c r="AC18" s="188">
        <f t="shared" si="5"/>
        <v>0</v>
      </c>
      <c r="AD18" s="70"/>
      <c r="AE18" s="64"/>
      <c r="AG18" s="218">
        <f t="shared" si="6"/>
        <v>0</v>
      </c>
      <c r="AI18" s="64">
        <f t="shared" si="7"/>
        <v>0</v>
      </c>
      <c r="AK18" s="142">
        <f t="shared" si="8"/>
        <v>0</v>
      </c>
      <c r="AM18" s="142">
        <f t="shared" si="9"/>
        <v>0</v>
      </c>
    </row>
    <row r="19" spans="2:41" x14ac:dyDescent="0.25">
      <c r="B19" s="174">
        <v>6710</v>
      </c>
      <c r="C19" s="46" t="s">
        <v>0</v>
      </c>
      <c r="D19" s="65"/>
      <c r="E19" s="48">
        <f t="shared" si="1"/>
        <v>0</v>
      </c>
      <c r="F19" s="72"/>
      <c r="G19" s="50"/>
      <c r="H19" s="51">
        <f t="shared" si="10"/>
        <v>0</v>
      </c>
      <c r="I19" s="52">
        <f t="shared" si="11"/>
        <v>0</v>
      </c>
      <c r="J19" s="207"/>
      <c r="K19" s="241">
        <f t="shared" si="2"/>
        <v>0</v>
      </c>
      <c r="L19" s="224"/>
      <c r="M19" s="206"/>
      <c r="N19" s="195">
        <f t="shared" si="12"/>
        <v>0</v>
      </c>
      <c r="O19" s="196">
        <f t="shared" si="13"/>
        <v>0</v>
      </c>
      <c r="P19" s="66"/>
      <c r="Q19" s="54">
        <f t="shared" si="3"/>
        <v>0</v>
      </c>
      <c r="R19" s="73"/>
      <c r="S19" s="56"/>
      <c r="T19" s="57">
        <f t="shared" si="14"/>
        <v>0</v>
      </c>
      <c r="U19" s="58">
        <f t="shared" si="15"/>
        <v>0</v>
      </c>
      <c r="V19" s="68"/>
      <c r="W19" s="60">
        <f t="shared" si="0"/>
        <v>0</v>
      </c>
      <c r="X19" s="74"/>
      <c r="Y19" s="62"/>
      <c r="Z19" s="63">
        <f t="shared" si="16"/>
        <v>0</v>
      </c>
      <c r="AA19" s="41">
        <f t="shared" si="17"/>
        <v>0</v>
      </c>
      <c r="AB19" s="42">
        <f t="shared" si="4"/>
        <v>0</v>
      </c>
      <c r="AC19" s="188">
        <f t="shared" si="5"/>
        <v>0</v>
      </c>
      <c r="AD19" s="70"/>
      <c r="AE19" s="64"/>
      <c r="AF19" s="1" t="s">
        <v>25</v>
      </c>
      <c r="AG19" s="218">
        <f t="shared" si="6"/>
        <v>0</v>
      </c>
      <c r="AI19" s="64">
        <f t="shared" si="7"/>
        <v>0</v>
      </c>
      <c r="AK19" s="142">
        <f t="shared" si="8"/>
        <v>0</v>
      </c>
      <c r="AM19" s="142">
        <f t="shared" si="9"/>
        <v>0</v>
      </c>
    </row>
    <row r="20" spans="2:41" x14ac:dyDescent="0.25">
      <c r="B20" s="174" t="s">
        <v>26</v>
      </c>
      <c r="C20" s="46" t="s">
        <v>0</v>
      </c>
      <c r="D20" s="65"/>
      <c r="E20" s="48">
        <v>0</v>
      </c>
      <c r="F20" s="49"/>
      <c r="G20" s="50"/>
      <c r="H20" s="51">
        <f t="shared" si="10"/>
        <v>0</v>
      </c>
      <c r="I20" s="52">
        <f t="shared" si="11"/>
        <v>0</v>
      </c>
      <c r="J20" s="207"/>
      <c r="K20" s="241">
        <v>0</v>
      </c>
      <c r="L20" s="223"/>
      <c r="M20" s="206"/>
      <c r="N20" s="195">
        <f t="shared" si="12"/>
        <v>0</v>
      </c>
      <c r="O20" s="196">
        <f t="shared" si="13"/>
        <v>0</v>
      </c>
      <c r="P20" s="66"/>
      <c r="Q20" s="54">
        <v>0</v>
      </c>
      <c r="R20" s="67"/>
      <c r="S20" s="56"/>
      <c r="T20" s="57">
        <f t="shared" si="14"/>
        <v>0</v>
      </c>
      <c r="U20" s="58">
        <f t="shared" si="15"/>
        <v>0</v>
      </c>
      <c r="V20" s="68"/>
      <c r="W20" s="60">
        <v>0</v>
      </c>
      <c r="X20" s="69"/>
      <c r="Y20" s="62"/>
      <c r="Z20" s="63">
        <f t="shared" si="16"/>
        <v>0</v>
      </c>
      <c r="AA20" s="41">
        <f t="shared" si="17"/>
        <v>0</v>
      </c>
      <c r="AB20" s="42">
        <f t="shared" si="4"/>
        <v>0</v>
      </c>
      <c r="AC20" s="188">
        <f t="shared" si="5"/>
        <v>0</v>
      </c>
      <c r="AD20" s="70"/>
      <c r="AE20" s="64"/>
      <c r="AG20" s="218">
        <f t="shared" si="6"/>
        <v>0</v>
      </c>
      <c r="AI20" s="64">
        <f t="shared" si="7"/>
        <v>0</v>
      </c>
      <c r="AK20" s="142">
        <f t="shared" si="8"/>
        <v>0</v>
      </c>
      <c r="AM20" s="142">
        <f t="shared" si="9"/>
        <v>0</v>
      </c>
    </row>
    <row r="21" spans="2:41" x14ac:dyDescent="0.25">
      <c r="B21" s="174" t="s">
        <v>26</v>
      </c>
      <c r="C21" s="153" t="s">
        <v>28</v>
      </c>
      <c r="D21" s="65"/>
      <c r="E21" s="75">
        <v>0</v>
      </c>
      <c r="F21" s="49">
        <v>5</v>
      </c>
      <c r="G21" s="50">
        <f>17160*4+41860</f>
        <v>110500</v>
      </c>
      <c r="H21" s="51">
        <f t="shared" si="10"/>
        <v>5</v>
      </c>
      <c r="I21" s="52">
        <f t="shared" si="11"/>
        <v>110500</v>
      </c>
      <c r="J21" s="207"/>
      <c r="K21" s="241">
        <v>0</v>
      </c>
      <c r="L21" s="223"/>
      <c r="M21" s="206"/>
      <c r="N21" s="195">
        <f t="shared" si="12"/>
        <v>0</v>
      </c>
      <c r="O21" s="196">
        <f t="shared" si="13"/>
        <v>0</v>
      </c>
      <c r="P21" s="66"/>
      <c r="Q21" s="54">
        <v>0</v>
      </c>
      <c r="R21" s="67">
        <v>6</v>
      </c>
      <c r="S21" s="56">
        <f>17160*5+24700</f>
        <v>110500</v>
      </c>
      <c r="T21" s="57">
        <f t="shared" si="14"/>
        <v>6</v>
      </c>
      <c r="U21" s="58">
        <f t="shared" si="15"/>
        <v>110500</v>
      </c>
      <c r="V21" s="68"/>
      <c r="W21" s="60">
        <v>0</v>
      </c>
      <c r="X21" s="69">
        <v>6</v>
      </c>
      <c r="Y21" s="62">
        <f>17160*3+13090*2+13750</f>
        <v>91410</v>
      </c>
      <c r="Z21" s="63">
        <f t="shared" si="16"/>
        <v>6</v>
      </c>
      <c r="AA21" s="41">
        <f t="shared" si="17"/>
        <v>91410</v>
      </c>
      <c r="AB21" s="152">
        <f t="shared" si="4"/>
        <v>17</v>
      </c>
      <c r="AC21" s="220">
        <f t="shared" si="5"/>
        <v>312410</v>
      </c>
      <c r="AD21" s="70"/>
      <c r="AE21" s="64"/>
      <c r="AG21" s="218">
        <f t="shared" si="6"/>
        <v>0</v>
      </c>
      <c r="AI21" s="151">
        <f t="shared" si="7"/>
        <v>312410</v>
      </c>
      <c r="AK21" s="142">
        <f t="shared" si="8"/>
        <v>17</v>
      </c>
      <c r="AM21" s="142">
        <f t="shared" si="9"/>
        <v>0</v>
      </c>
    </row>
    <row r="22" spans="2:41" ht="15.75" thickBot="1" x14ac:dyDescent="0.3">
      <c r="B22" s="176" t="s">
        <v>26</v>
      </c>
      <c r="C22" s="155" t="s">
        <v>29</v>
      </c>
      <c r="D22" s="77"/>
      <c r="E22" s="78">
        <v>0</v>
      </c>
      <c r="F22" s="79">
        <v>2</v>
      </c>
      <c r="G22" s="80">
        <f>5550+29960</f>
        <v>35510</v>
      </c>
      <c r="H22" s="81">
        <f t="shared" si="10"/>
        <v>2</v>
      </c>
      <c r="I22" s="82">
        <f t="shared" si="11"/>
        <v>35510</v>
      </c>
      <c r="J22" s="242"/>
      <c r="K22" s="243">
        <v>0</v>
      </c>
      <c r="L22" s="225"/>
      <c r="M22" s="213"/>
      <c r="N22" s="197">
        <f t="shared" si="12"/>
        <v>0</v>
      </c>
      <c r="O22" s="198">
        <f t="shared" si="13"/>
        <v>0</v>
      </c>
      <c r="P22" s="83"/>
      <c r="Q22" s="84">
        <v>0</v>
      </c>
      <c r="R22" s="85">
        <v>4</v>
      </c>
      <c r="S22" s="86">
        <f>12800+17930+13180+12380</f>
        <v>56290</v>
      </c>
      <c r="T22" s="87">
        <f t="shared" si="14"/>
        <v>4</v>
      </c>
      <c r="U22" s="88">
        <f t="shared" si="15"/>
        <v>56290</v>
      </c>
      <c r="V22" s="89"/>
      <c r="W22" s="60">
        <v>0</v>
      </c>
      <c r="X22" s="90">
        <v>6</v>
      </c>
      <c r="Y22" s="91">
        <f>11100+14980*2+13040+17930+13180</f>
        <v>85210</v>
      </c>
      <c r="Z22" s="92">
        <f t="shared" si="16"/>
        <v>6</v>
      </c>
      <c r="AA22" s="93">
        <f t="shared" si="17"/>
        <v>85210</v>
      </c>
      <c r="AB22" s="152">
        <f t="shared" si="4"/>
        <v>12</v>
      </c>
      <c r="AC22" s="220">
        <f t="shared" si="5"/>
        <v>177010</v>
      </c>
      <c r="AD22" s="70"/>
      <c r="AE22" s="94"/>
      <c r="AG22" s="219">
        <f t="shared" si="6"/>
        <v>0</v>
      </c>
      <c r="AI22" s="154">
        <f t="shared" si="7"/>
        <v>177010</v>
      </c>
      <c r="AK22" s="144">
        <f t="shared" si="8"/>
        <v>12</v>
      </c>
      <c r="AM22" s="144">
        <f t="shared" si="9"/>
        <v>0</v>
      </c>
    </row>
    <row r="23" spans="2:41" ht="15.75" thickBot="1" x14ac:dyDescent="0.3">
      <c r="D23" s="95">
        <f t="shared" ref="D23:I23" si="18">SUM(D8:D22)</f>
        <v>0</v>
      </c>
      <c r="E23" s="96">
        <f t="shared" si="18"/>
        <v>0</v>
      </c>
      <c r="F23" s="95">
        <f t="shared" si="18"/>
        <v>14</v>
      </c>
      <c r="G23" s="97">
        <f t="shared" si="18"/>
        <v>190250</v>
      </c>
      <c r="H23" s="98">
        <f t="shared" si="18"/>
        <v>14</v>
      </c>
      <c r="I23" s="99">
        <f t="shared" si="18"/>
        <v>190250</v>
      </c>
      <c r="J23" s="240">
        <f t="shared" ref="J23:O23" si="19">SUM(J8:J22)</f>
        <v>0</v>
      </c>
      <c r="K23" s="226">
        <f t="shared" si="19"/>
        <v>0</v>
      </c>
      <c r="L23" s="214">
        <f t="shared" si="19"/>
        <v>0</v>
      </c>
      <c r="M23" s="216">
        <f t="shared" si="19"/>
        <v>0</v>
      </c>
      <c r="N23" s="217">
        <f t="shared" si="19"/>
        <v>0</v>
      </c>
      <c r="O23" s="99">
        <f t="shared" si="19"/>
        <v>0</v>
      </c>
      <c r="P23" s="100">
        <f t="shared" ref="P23:AA23" si="20">SUM(P8:P22)</f>
        <v>0</v>
      </c>
      <c r="Q23" s="101">
        <f t="shared" si="20"/>
        <v>0</v>
      </c>
      <c r="R23" s="100">
        <f t="shared" si="20"/>
        <v>35</v>
      </c>
      <c r="S23" s="102">
        <f t="shared" si="20"/>
        <v>319734</v>
      </c>
      <c r="T23" s="103">
        <f t="shared" si="20"/>
        <v>35</v>
      </c>
      <c r="U23" s="104">
        <f t="shared" si="20"/>
        <v>319734</v>
      </c>
      <c r="V23" s="105">
        <f t="shared" si="20"/>
        <v>0</v>
      </c>
      <c r="W23" s="106">
        <f t="shared" si="20"/>
        <v>0</v>
      </c>
      <c r="X23" s="105">
        <f t="shared" si="20"/>
        <v>33</v>
      </c>
      <c r="Y23" s="107">
        <f t="shared" si="20"/>
        <v>309340</v>
      </c>
      <c r="Z23" s="108">
        <f t="shared" si="20"/>
        <v>33</v>
      </c>
      <c r="AA23" s="104">
        <f t="shared" si="20"/>
        <v>309340</v>
      </c>
      <c r="AB23" s="109" t="s">
        <v>9</v>
      </c>
      <c r="AC23" s="43">
        <f>SUM(AC8:AC22)</f>
        <v>819324</v>
      </c>
      <c r="AD23" s="70"/>
      <c r="AE23" s="1">
        <f>SUM(AE8:AE22)</f>
        <v>5056</v>
      </c>
      <c r="AI23" s="110"/>
      <c r="AK23" s="1">
        <f>SUM(AK8:AK22)</f>
        <v>82</v>
      </c>
      <c r="AM23" s="1">
        <f>SUM(AM8:AM22)</f>
        <v>0</v>
      </c>
      <c r="AO23" s="1">
        <f>+AK23+AM23</f>
        <v>82</v>
      </c>
    </row>
    <row r="24" spans="2:41" x14ac:dyDescent="0.25">
      <c r="G24" s="111"/>
      <c r="H24" s="111"/>
      <c r="I24" s="111"/>
      <c r="M24" s="111"/>
      <c r="N24" s="111"/>
      <c r="O24" s="111"/>
      <c r="P24" s="111"/>
      <c r="Q24" s="111"/>
      <c r="R24" s="112">
        <f>X23+F23+R23+L23</f>
        <v>82</v>
      </c>
      <c r="S24" s="113">
        <f>G23+Y23+S23+M23</f>
        <v>819324</v>
      </c>
      <c r="T24" s="111"/>
      <c r="U24" s="111"/>
      <c r="V24" s="111"/>
      <c r="W24" s="111"/>
      <c r="X24" s="111"/>
      <c r="Y24" s="111"/>
      <c r="Z24" s="111"/>
      <c r="AA24" s="111"/>
      <c r="AB24" s="2"/>
      <c r="AC24" s="70">
        <f>AA23+U23+I23+O23</f>
        <v>819324</v>
      </c>
      <c r="AD24" s="2"/>
    </row>
    <row r="25" spans="2:41" x14ac:dyDescent="0.25">
      <c r="D25" s="114" t="s">
        <v>30</v>
      </c>
      <c r="E25" s="114"/>
      <c r="G25" s="114"/>
      <c r="H25" s="114"/>
      <c r="I25" s="114"/>
      <c r="J25" s="114" t="s">
        <v>30</v>
      </c>
      <c r="K25" s="114"/>
      <c r="M25" s="114"/>
      <c r="N25" s="114"/>
      <c r="O25" s="114"/>
      <c r="P25" s="114"/>
      <c r="Q25" s="114"/>
      <c r="R25" s="114"/>
      <c r="S25" s="114"/>
      <c r="T25" s="114"/>
      <c r="U25" s="114"/>
      <c r="AA25" s="2"/>
      <c r="AB25" s="2"/>
      <c r="AC25" s="2"/>
      <c r="AD25" s="2"/>
    </row>
    <row r="26" spans="2:41" x14ac:dyDescent="0.25">
      <c r="D26" s="114"/>
      <c r="E26" s="114"/>
      <c r="J26" s="114"/>
      <c r="K26" s="114"/>
      <c r="P26" s="1"/>
      <c r="Q26" s="1"/>
      <c r="R26" s="1"/>
      <c r="S26" s="1"/>
      <c r="T26" s="1"/>
      <c r="U26" s="1"/>
      <c r="AA26" s="2"/>
      <c r="AB26" s="2"/>
      <c r="AC26" s="2"/>
      <c r="AD26" s="2"/>
    </row>
    <row r="27" spans="2:41" x14ac:dyDescent="0.25">
      <c r="C27" s="115">
        <v>20000</v>
      </c>
      <c r="D27" s="115"/>
      <c r="E27" s="115"/>
      <c r="F27" s="116"/>
      <c r="G27" s="117"/>
      <c r="H27" s="118"/>
      <c r="I27" s="119">
        <v>140000</v>
      </c>
      <c r="J27" s="115"/>
      <c r="K27" s="115"/>
      <c r="L27" s="116"/>
      <c r="M27" s="117"/>
      <c r="N27" s="118"/>
      <c r="O27" s="119"/>
      <c r="P27" s="119"/>
      <c r="Q27" s="119"/>
      <c r="R27" s="119"/>
      <c r="S27" s="119"/>
      <c r="T27" s="119"/>
      <c r="U27" s="119">
        <v>20000</v>
      </c>
      <c r="V27" s="119"/>
      <c r="W27" s="119"/>
      <c r="X27" s="120"/>
      <c r="Y27" s="121"/>
      <c r="Z27" s="120"/>
      <c r="AA27" s="121">
        <v>260000</v>
      </c>
      <c r="AB27" s="122"/>
      <c r="AC27" s="122"/>
      <c r="AD27" s="2"/>
      <c r="AE27" s="2"/>
      <c r="AF27" s="2"/>
    </row>
    <row r="28" spans="2:41" x14ac:dyDescent="0.25">
      <c r="C28" s="115">
        <v>10000</v>
      </c>
      <c r="D28" s="115"/>
      <c r="E28" s="115"/>
      <c r="F28" s="116"/>
      <c r="G28" s="117"/>
      <c r="H28" s="118"/>
      <c r="I28" s="119">
        <v>50000</v>
      </c>
      <c r="J28" s="115"/>
      <c r="K28" s="115"/>
      <c r="L28" s="116"/>
      <c r="M28" s="117"/>
      <c r="N28" s="118"/>
      <c r="O28" s="119"/>
      <c r="P28" s="119"/>
      <c r="Q28" s="119"/>
      <c r="R28" s="119"/>
      <c r="S28" s="119"/>
      <c r="T28" s="119"/>
      <c r="U28" s="119">
        <v>110000</v>
      </c>
      <c r="V28" s="119"/>
      <c r="W28" s="119"/>
      <c r="X28" s="120"/>
      <c r="Y28" s="122"/>
      <c r="Z28" s="120"/>
      <c r="AA28" s="122">
        <v>40000</v>
      </c>
      <c r="AB28" s="122"/>
      <c r="AC28" s="122"/>
      <c r="AD28" s="2"/>
      <c r="AE28" s="2"/>
      <c r="AF28" s="2"/>
    </row>
    <row r="29" spans="2:41" x14ac:dyDescent="0.25">
      <c r="C29" s="115">
        <v>5000</v>
      </c>
      <c r="D29" s="115"/>
      <c r="E29" s="115"/>
      <c r="F29" s="116"/>
      <c r="G29" s="117"/>
      <c r="H29" s="118"/>
      <c r="I29" s="119">
        <v>0</v>
      </c>
      <c r="J29" s="115"/>
      <c r="K29" s="115"/>
      <c r="L29" s="116"/>
      <c r="M29" s="117"/>
      <c r="N29" s="118"/>
      <c r="O29" s="119"/>
      <c r="P29" s="119"/>
      <c r="Q29" s="119"/>
      <c r="R29" s="119"/>
      <c r="S29" s="119"/>
      <c r="T29" s="119"/>
      <c r="U29" s="119">
        <v>10000</v>
      </c>
      <c r="V29" s="119"/>
      <c r="W29" s="119"/>
      <c r="X29" s="120"/>
      <c r="Y29" s="121"/>
      <c r="Z29" s="120"/>
      <c r="AA29" s="121">
        <v>5000</v>
      </c>
      <c r="AB29" s="122"/>
      <c r="AC29" s="122"/>
      <c r="AD29" s="2"/>
      <c r="AE29" s="2"/>
      <c r="AF29" s="2"/>
    </row>
    <row r="30" spans="2:41" x14ac:dyDescent="0.25">
      <c r="C30" s="115">
        <v>2000</v>
      </c>
      <c r="D30" s="115"/>
      <c r="E30" s="115"/>
      <c r="F30" s="116"/>
      <c r="G30" s="117"/>
      <c r="H30" s="118"/>
      <c r="I30" s="119">
        <v>0</v>
      </c>
      <c r="J30" s="115"/>
      <c r="K30" s="115"/>
      <c r="L30" s="116"/>
      <c r="M30" s="117"/>
      <c r="N30" s="118"/>
      <c r="O30" s="119"/>
      <c r="P30" s="119"/>
      <c r="Q30" s="119"/>
      <c r="R30" s="119"/>
      <c r="S30" s="119"/>
      <c r="T30" s="119"/>
      <c r="U30" s="119">
        <v>0</v>
      </c>
      <c r="V30" s="119"/>
      <c r="W30" s="119"/>
      <c r="X30" s="120"/>
      <c r="Y30" s="121"/>
      <c r="Z30" s="120"/>
      <c r="AA30" s="121">
        <v>2000</v>
      </c>
      <c r="AB30" s="122"/>
      <c r="AC30" s="122"/>
      <c r="AD30" s="123"/>
    </row>
    <row r="31" spans="2:41" x14ac:dyDescent="0.25">
      <c r="C31" s="115">
        <v>1000</v>
      </c>
      <c r="D31" s="115"/>
      <c r="E31" s="115"/>
      <c r="F31" s="116"/>
      <c r="G31" s="117"/>
      <c r="H31" s="118"/>
      <c r="I31" s="124">
        <v>0</v>
      </c>
      <c r="J31" s="115"/>
      <c r="K31" s="115"/>
      <c r="L31" s="116"/>
      <c r="M31" s="117"/>
      <c r="N31" s="118"/>
      <c r="O31" s="124"/>
      <c r="P31" s="124"/>
      <c r="Q31" s="124"/>
      <c r="R31" s="124"/>
      <c r="S31" s="124"/>
      <c r="T31" s="124"/>
      <c r="U31" s="124">
        <v>2000</v>
      </c>
      <c r="V31" s="124"/>
      <c r="W31" s="124"/>
      <c r="X31" s="120"/>
      <c r="Y31" s="121"/>
      <c r="Z31" s="120"/>
      <c r="AA31" s="121">
        <v>2000</v>
      </c>
      <c r="AB31" s="122"/>
      <c r="AC31" s="122"/>
      <c r="AD31" s="2"/>
    </row>
    <row r="32" spans="2:41" x14ac:dyDescent="0.25">
      <c r="C32" s="115">
        <v>500</v>
      </c>
      <c r="D32" s="115"/>
      <c r="E32" s="115"/>
      <c r="F32" s="116"/>
      <c r="G32" s="117"/>
      <c r="H32" s="118"/>
      <c r="I32" s="119">
        <v>0</v>
      </c>
      <c r="J32" s="115"/>
      <c r="K32" s="115"/>
      <c r="L32" s="116"/>
      <c r="M32" s="117"/>
      <c r="N32" s="118"/>
      <c r="O32" s="119"/>
      <c r="P32" s="119"/>
      <c r="Q32" s="119"/>
      <c r="R32" s="119"/>
      <c r="S32" s="119"/>
      <c r="T32" s="119"/>
      <c r="U32" s="119">
        <v>500</v>
      </c>
      <c r="V32" s="119"/>
      <c r="W32" s="119"/>
      <c r="X32" s="120"/>
      <c r="Y32" s="121"/>
      <c r="Z32" s="120"/>
      <c r="AA32" s="121">
        <v>0</v>
      </c>
      <c r="AB32" s="121"/>
      <c r="AC32" s="121"/>
      <c r="AD32" s="2"/>
    </row>
    <row r="33" spans="2:33" x14ac:dyDescent="0.25">
      <c r="C33" s="115">
        <v>100</v>
      </c>
      <c r="D33" s="115"/>
      <c r="E33" s="115"/>
      <c r="F33" s="116"/>
      <c r="G33" s="117"/>
      <c r="H33" s="118"/>
      <c r="I33" s="119">
        <v>200</v>
      </c>
      <c r="J33" s="115"/>
      <c r="K33" s="115"/>
      <c r="L33" s="116"/>
      <c r="M33" s="117"/>
      <c r="N33" s="118"/>
      <c r="O33" s="119"/>
      <c r="P33" s="119"/>
      <c r="Q33" s="119"/>
      <c r="R33" s="119"/>
      <c r="S33" s="119"/>
      <c r="T33" s="119"/>
      <c r="U33" s="119">
        <v>100</v>
      </c>
      <c r="V33" s="119"/>
      <c r="W33" s="119"/>
      <c r="X33" s="120"/>
      <c r="Y33" s="121"/>
      <c r="Z33" s="120"/>
      <c r="AA33" s="121">
        <v>300</v>
      </c>
      <c r="AB33" s="121"/>
      <c r="AC33" s="121"/>
      <c r="AD33" s="2"/>
    </row>
    <row r="34" spans="2:33" x14ac:dyDescent="0.25">
      <c r="C34" s="115">
        <v>50</v>
      </c>
      <c r="D34" s="115"/>
      <c r="E34" s="115"/>
      <c r="F34" s="116"/>
      <c r="G34" s="117"/>
      <c r="H34" s="118"/>
      <c r="I34" s="119">
        <v>50</v>
      </c>
      <c r="J34" s="115"/>
      <c r="K34" s="115"/>
      <c r="L34" s="116"/>
      <c r="M34" s="117"/>
      <c r="N34" s="118"/>
      <c r="O34" s="119"/>
      <c r="P34" s="119"/>
      <c r="Q34" s="119"/>
      <c r="R34" s="119"/>
      <c r="S34" s="119"/>
      <c r="T34" s="119"/>
      <c r="U34" s="119">
        <v>0</v>
      </c>
      <c r="V34" s="119"/>
      <c r="W34" s="119"/>
      <c r="X34" s="120"/>
      <c r="Y34" s="121"/>
      <c r="Z34" s="120"/>
      <c r="AA34" s="121">
        <v>0</v>
      </c>
      <c r="AB34" s="121"/>
      <c r="AC34" s="121"/>
      <c r="AD34" s="2"/>
    </row>
    <row r="35" spans="2:33" x14ac:dyDescent="0.25">
      <c r="C35" s="115">
        <v>10</v>
      </c>
      <c r="D35" s="115"/>
      <c r="E35" s="115"/>
      <c r="F35" s="116"/>
      <c r="G35" s="117"/>
      <c r="H35" s="118"/>
      <c r="I35" s="119">
        <v>0</v>
      </c>
      <c r="J35" s="115"/>
      <c r="K35" s="115"/>
      <c r="L35" s="116"/>
      <c r="M35" s="117"/>
      <c r="N35" s="118"/>
      <c r="O35" s="119"/>
      <c r="P35" s="119"/>
      <c r="Q35" s="119"/>
      <c r="R35" s="119"/>
      <c r="S35" s="119"/>
      <c r="T35" s="119"/>
      <c r="U35" s="119">
        <v>10</v>
      </c>
      <c r="V35" s="119"/>
      <c r="W35" s="119"/>
      <c r="X35" s="120"/>
      <c r="Y35" s="121"/>
      <c r="Z35" s="120"/>
      <c r="AA35" s="121">
        <v>40</v>
      </c>
      <c r="AB35" s="121"/>
      <c r="AC35" s="121"/>
      <c r="AD35" s="2"/>
      <c r="AG35" s="1" t="s">
        <v>25</v>
      </c>
    </row>
    <row r="36" spans="2:33" x14ac:dyDescent="0.25">
      <c r="C36" s="1" t="s">
        <v>32</v>
      </c>
      <c r="E36" s="131"/>
      <c r="G36" s="125"/>
      <c r="H36" s="118"/>
      <c r="I36" s="124"/>
      <c r="K36" s="131"/>
      <c r="M36" s="125"/>
      <c r="N36" s="118"/>
      <c r="O36" s="124"/>
      <c r="P36" s="124"/>
      <c r="Q36" s="124"/>
      <c r="R36" s="124"/>
      <c r="S36" s="124"/>
      <c r="T36" s="124"/>
      <c r="U36" s="124">
        <f>164320+12800+4</f>
        <v>177124</v>
      </c>
      <c r="V36" s="124"/>
      <c r="W36" s="124"/>
      <c r="X36" s="120"/>
      <c r="Y36" s="124"/>
      <c r="Z36" s="120"/>
      <c r="AA36" s="124"/>
      <c r="AB36" s="124"/>
      <c r="AC36" s="124"/>
      <c r="AD36" s="2"/>
    </row>
    <row r="37" spans="2:33" s="114" customFormat="1" ht="15.75" x14ac:dyDescent="0.25">
      <c r="F37" s="126"/>
      <c r="G37" s="127"/>
      <c r="I37" s="128">
        <f>SUM(I27:I36)</f>
        <v>190250</v>
      </c>
      <c r="L37" s="126"/>
      <c r="M37" s="127"/>
      <c r="O37" s="128">
        <f>SUM(O27:O36)</f>
        <v>0</v>
      </c>
      <c r="P37" s="116"/>
      <c r="Q37" s="116"/>
      <c r="R37" s="116"/>
      <c r="S37" s="116"/>
      <c r="T37" s="116"/>
      <c r="U37" s="128">
        <f>SUM(U27:U36)</f>
        <v>319734</v>
      </c>
      <c r="V37" s="116"/>
      <c r="W37" s="116"/>
      <c r="X37" s="123"/>
      <c r="Y37" s="116"/>
      <c r="Z37" s="123"/>
      <c r="AA37" s="128">
        <f>SUM(AA27:AA36)</f>
        <v>309340</v>
      </c>
      <c r="AB37" s="129"/>
      <c r="AC37" s="125">
        <f>+I37+U37+AA37+O37</f>
        <v>819324</v>
      </c>
    </row>
    <row r="38" spans="2:33" x14ac:dyDescent="0.25">
      <c r="B38" s="2"/>
      <c r="C38" s="2"/>
      <c r="D38" s="2"/>
      <c r="E38" s="70"/>
      <c r="F38" s="2"/>
      <c r="G38" s="2"/>
      <c r="H38" s="2"/>
      <c r="I38" s="2"/>
      <c r="J38" s="2"/>
      <c r="K38" s="70"/>
      <c r="L38" s="2"/>
      <c r="M38" s="2"/>
      <c r="N38" s="2"/>
      <c r="O38" s="2"/>
      <c r="X38" s="70"/>
      <c r="AA38" s="2"/>
      <c r="AB38" s="130"/>
      <c r="AC38" s="131">
        <f>AC37-AC24</f>
        <v>0</v>
      </c>
    </row>
    <row r="39" spans="2:33" x14ac:dyDescent="0.25">
      <c r="B39" s="2"/>
      <c r="C39" s="2"/>
      <c r="D39" s="2"/>
      <c r="E39" s="70"/>
      <c r="F39" s="2"/>
      <c r="G39" s="2"/>
      <c r="H39" s="2"/>
      <c r="I39" s="129"/>
      <c r="J39" s="2"/>
      <c r="K39" s="70"/>
      <c r="L39" s="2"/>
      <c r="M39" s="2"/>
      <c r="N39" s="2"/>
      <c r="O39" s="129"/>
      <c r="X39" s="70"/>
      <c r="AA39" s="129"/>
      <c r="AB39" s="130"/>
      <c r="AC39" s="131"/>
    </row>
    <row r="40" spans="2:33" x14ac:dyDescent="0.25">
      <c r="E40" s="110"/>
      <c r="Q40" s="133"/>
      <c r="Y40" s="1"/>
      <c r="Z40" s="1"/>
    </row>
    <row r="41" spans="2:33" x14ac:dyDescent="0.25">
      <c r="S41" s="129"/>
      <c r="T41" s="129"/>
      <c r="U41" s="129"/>
      <c r="W41" s="130"/>
    </row>
  </sheetData>
  <mergeCells count="11">
    <mergeCell ref="Q3:T3"/>
    <mergeCell ref="C4:D4"/>
    <mergeCell ref="V6:AA6"/>
    <mergeCell ref="AB6:AB7"/>
    <mergeCell ref="AC6:AC7"/>
    <mergeCell ref="AE6:AE7"/>
    <mergeCell ref="B6:B7"/>
    <mergeCell ref="C6:C7"/>
    <mergeCell ref="D6:I6"/>
    <mergeCell ref="J6:O6"/>
    <mergeCell ref="P6:U6"/>
  </mergeCells>
  <pageMargins left="0.39370078740157483" right="0.39370078740157483" top="0.19685039370078741" bottom="0.19685039370078741" header="0" footer="0"/>
  <pageSetup paperSize="9" scale="87" fitToHeight="0" orientation="landscape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>
    <pageSetUpPr fitToPage="1"/>
  </sheetPr>
  <dimension ref="A1:AO41"/>
  <sheetViews>
    <sheetView topLeftCell="A19" workbookViewId="0">
      <pane xSplit="3" topLeftCell="S1" activePane="topRight" state="frozen"/>
      <selection activeCell="G14" sqref="G14"/>
      <selection pane="topRight" activeCell="U34" sqref="U27:U34"/>
    </sheetView>
  </sheetViews>
  <sheetFormatPr baseColWidth="10" defaultRowHeight="15" x14ac:dyDescent="0.25"/>
  <cols>
    <col min="1" max="1" width="1.7109375" style="1" customWidth="1"/>
    <col min="2" max="2" width="10" style="1" customWidth="1"/>
    <col min="3" max="3" width="29.140625" style="1" customWidth="1"/>
    <col min="4" max="4" width="5.7109375" style="1" customWidth="1"/>
    <col min="5" max="5" width="10.7109375" style="1" customWidth="1"/>
    <col min="6" max="6" width="5.7109375" style="1" customWidth="1"/>
    <col min="7" max="7" width="10.7109375" style="1" customWidth="1"/>
    <col min="8" max="8" width="5.7109375" style="1" customWidth="1"/>
    <col min="9" max="9" width="10.7109375" style="1" customWidth="1"/>
    <col min="10" max="10" width="5.7109375" style="1" hidden="1" customWidth="1"/>
    <col min="11" max="11" width="10.7109375" style="1" hidden="1" customWidth="1"/>
    <col min="12" max="12" width="5.7109375" style="1" hidden="1" customWidth="1"/>
    <col min="13" max="13" width="10.7109375" style="1" hidden="1" customWidth="1"/>
    <col min="14" max="14" width="5.7109375" style="1" hidden="1" customWidth="1"/>
    <col min="15" max="15" width="10.7109375" style="1" hidden="1" customWidth="1"/>
    <col min="16" max="16" width="5.7109375" style="2" customWidth="1"/>
    <col min="17" max="17" width="10.7109375" style="2" customWidth="1"/>
    <col min="18" max="18" width="5.7109375" style="2" customWidth="1"/>
    <col min="19" max="19" width="10.7109375" style="2" customWidth="1"/>
    <col min="20" max="20" width="5.7109375" style="2" customWidth="1"/>
    <col min="21" max="21" width="10.7109375" style="2" customWidth="1"/>
    <col min="22" max="22" width="5.7109375" style="2" customWidth="1"/>
    <col min="23" max="23" width="10.7109375" style="2" customWidth="1"/>
    <col min="24" max="24" width="5.7109375" style="2" customWidth="1"/>
    <col min="25" max="25" width="10.7109375" style="2" customWidth="1"/>
    <col min="26" max="26" width="5.7109375" style="2" customWidth="1"/>
    <col min="27" max="27" width="10.7109375" style="1" customWidth="1"/>
    <col min="28" max="28" width="9.5703125" style="1" customWidth="1"/>
    <col min="29" max="29" width="14.5703125" style="1" bestFit="1" customWidth="1"/>
    <col min="30" max="30" width="3.28515625" style="1" customWidth="1"/>
    <col min="31" max="31" width="11.42578125" style="1"/>
    <col min="32" max="32" width="3.7109375" style="1" customWidth="1"/>
    <col min="33" max="33" width="10.140625" style="1" customWidth="1"/>
    <col min="34" max="34" width="3.7109375" style="1" customWidth="1"/>
    <col min="35" max="35" width="11.42578125" style="1"/>
    <col min="36" max="36" width="3.7109375" style="1" customWidth="1"/>
    <col min="37" max="37" width="5.7109375" style="1" customWidth="1"/>
    <col min="38" max="38" width="3.7109375" style="1" customWidth="1"/>
    <col min="39" max="39" width="5.7109375" style="1" customWidth="1"/>
    <col min="40" max="40" width="3.7109375" style="1" customWidth="1"/>
    <col min="41" max="41" width="5.7109375" style="1" customWidth="1"/>
    <col min="42" max="16384" width="11.42578125" style="1"/>
  </cols>
  <sheetData>
    <row r="1" spans="1:39" ht="5.25" customHeight="1" x14ac:dyDescent="0.25">
      <c r="Y1" s="1"/>
      <c r="Z1" s="1"/>
    </row>
    <row r="2" spans="1:39" ht="21" x14ac:dyDescent="0.35">
      <c r="B2" s="3" t="s">
        <v>0</v>
      </c>
      <c r="P2" s="1"/>
      <c r="Q2" s="4"/>
      <c r="Z2" s="1"/>
    </row>
    <row r="3" spans="1:39" ht="15" customHeight="1" x14ac:dyDescent="0.25">
      <c r="A3" s="5"/>
      <c r="B3" s="6" t="s">
        <v>1</v>
      </c>
      <c r="C3" s="7"/>
      <c r="D3" s="7"/>
      <c r="E3" s="7"/>
      <c r="F3" s="7"/>
      <c r="P3" s="1"/>
      <c r="Q3" s="353"/>
      <c r="R3" s="353"/>
      <c r="S3" s="353"/>
      <c r="T3" s="353"/>
      <c r="U3" s="262"/>
      <c r="V3" s="262"/>
      <c r="Z3" s="1"/>
    </row>
    <row r="4" spans="1:39" ht="18" customHeight="1" x14ac:dyDescent="0.25">
      <c r="B4" s="263" t="s">
        <v>2</v>
      </c>
      <c r="C4" s="354" t="s">
        <v>57</v>
      </c>
      <c r="D4" s="355"/>
      <c r="E4" s="263"/>
      <c r="F4" s="263"/>
      <c r="P4" s="1"/>
      <c r="Q4" s="9"/>
      <c r="R4" s="10"/>
      <c r="S4" s="9"/>
      <c r="T4" s="9"/>
      <c r="U4" s="9"/>
      <c r="V4" s="9"/>
      <c r="Z4" s="1"/>
    </row>
    <row r="5" spans="1:39" ht="15.75" thickBot="1" x14ac:dyDescent="0.3">
      <c r="A5" s="263"/>
      <c r="B5" s="263"/>
      <c r="C5" s="263"/>
      <c r="D5" s="263"/>
      <c r="E5" s="263"/>
      <c r="J5" s="263"/>
      <c r="K5" s="263"/>
      <c r="P5" s="1"/>
      <c r="Q5" s="1"/>
      <c r="R5" s="1"/>
      <c r="S5" s="1"/>
      <c r="T5" s="1"/>
      <c r="U5" s="1"/>
      <c r="V5" s="9"/>
      <c r="W5" s="9"/>
      <c r="X5" s="9"/>
      <c r="Y5" s="9"/>
      <c r="Z5" s="9"/>
      <c r="AA5" s="9"/>
      <c r="AB5" s="2"/>
      <c r="AC5" s="2"/>
      <c r="AD5" s="2"/>
    </row>
    <row r="6" spans="1:39" ht="27.75" customHeight="1" thickBot="1" x14ac:dyDescent="0.3">
      <c r="B6" s="356" t="s">
        <v>3</v>
      </c>
      <c r="C6" s="343" t="s">
        <v>4</v>
      </c>
      <c r="D6" s="358" t="s">
        <v>36</v>
      </c>
      <c r="E6" s="359"/>
      <c r="F6" s="360"/>
      <c r="G6" s="360"/>
      <c r="H6" s="360"/>
      <c r="I6" s="361"/>
      <c r="J6" s="370" t="s">
        <v>42</v>
      </c>
      <c r="K6" s="371"/>
      <c r="L6" s="372"/>
      <c r="M6" s="372"/>
      <c r="N6" s="372"/>
      <c r="O6" s="373"/>
      <c r="P6" s="362" t="s">
        <v>39</v>
      </c>
      <c r="Q6" s="363"/>
      <c r="R6" s="364"/>
      <c r="S6" s="364"/>
      <c r="T6" s="364"/>
      <c r="U6" s="365"/>
      <c r="V6" s="366" t="s">
        <v>31</v>
      </c>
      <c r="W6" s="367"/>
      <c r="X6" s="368"/>
      <c r="Y6" s="368"/>
      <c r="Z6" s="368"/>
      <c r="AA6" s="369"/>
      <c r="AB6" s="349" t="s">
        <v>5</v>
      </c>
      <c r="AC6" s="349" t="s">
        <v>6</v>
      </c>
      <c r="AD6" s="2"/>
      <c r="AE6" s="351" t="s">
        <v>7</v>
      </c>
      <c r="AF6" s="2"/>
    </row>
    <row r="7" spans="1:39" ht="25.5" customHeight="1" thickBot="1" x14ac:dyDescent="0.3">
      <c r="B7" s="357"/>
      <c r="C7" s="344"/>
      <c r="D7" s="11" t="s">
        <v>8</v>
      </c>
      <c r="E7" s="14" t="s">
        <v>9</v>
      </c>
      <c r="F7" s="13" t="s">
        <v>8</v>
      </c>
      <c r="G7" s="14" t="s">
        <v>9</v>
      </c>
      <c r="H7" s="11" t="s">
        <v>5</v>
      </c>
      <c r="I7" s="14" t="s">
        <v>10</v>
      </c>
      <c r="J7" s="190" t="s">
        <v>8</v>
      </c>
      <c r="K7" s="192" t="s">
        <v>9</v>
      </c>
      <c r="L7" s="191" t="s">
        <v>8</v>
      </c>
      <c r="M7" s="192" t="s">
        <v>9</v>
      </c>
      <c r="N7" s="190" t="s">
        <v>5</v>
      </c>
      <c r="O7" s="192" t="s">
        <v>10</v>
      </c>
      <c r="P7" s="15" t="s">
        <v>8</v>
      </c>
      <c r="Q7" s="16" t="s">
        <v>9</v>
      </c>
      <c r="R7" s="17" t="s">
        <v>8</v>
      </c>
      <c r="S7" s="16" t="s">
        <v>9</v>
      </c>
      <c r="T7" s="15" t="s">
        <v>5</v>
      </c>
      <c r="U7" s="16" t="s">
        <v>10</v>
      </c>
      <c r="V7" s="18" t="s">
        <v>8</v>
      </c>
      <c r="W7" s="19" t="s">
        <v>9</v>
      </c>
      <c r="X7" s="20" t="s">
        <v>8</v>
      </c>
      <c r="Y7" s="21" t="s">
        <v>9</v>
      </c>
      <c r="Z7" s="18" t="s">
        <v>5</v>
      </c>
      <c r="AA7" s="21" t="s">
        <v>10</v>
      </c>
      <c r="AB7" s="350"/>
      <c r="AC7" s="350"/>
      <c r="AD7" s="2"/>
      <c r="AE7" s="352"/>
      <c r="AG7" s="22" t="s">
        <v>11</v>
      </c>
      <c r="AI7" s="22" t="s">
        <v>12</v>
      </c>
    </row>
    <row r="8" spans="1:39" x14ac:dyDescent="0.25">
      <c r="B8" s="173">
        <v>6320</v>
      </c>
      <c r="C8" s="157" t="s">
        <v>13</v>
      </c>
      <c r="D8" s="24"/>
      <c r="E8" s="25">
        <f>+D8*B8</f>
        <v>0</v>
      </c>
      <c r="F8" s="26">
        <v>8</v>
      </c>
      <c r="G8" s="27">
        <f>6320*8</f>
        <v>50560</v>
      </c>
      <c r="H8" s="28">
        <f>D8+F8</f>
        <v>8</v>
      </c>
      <c r="I8" s="238">
        <f>E8+G8</f>
        <v>50560</v>
      </c>
      <c r="J8" s="199"/>
      <c r="K8" s="202">
        <f>+J8*B8</f>
        <v>0</v>
      </c>
      <c r="L8" s="222"/>
      <c r="M8" s="202"/>
      <c r="N8" s="193">
        <f>J8+L8</f>
        <v>0</v>
      </c>
      <c r="O8" s="194">
        <f>K8+M8</f>
        <v>0</v>
      </c>
      <c r="P8" s="30"/>
      <c r="Q8" s="31">
        <f>+P8*B8</f>
        <v>0</v>
      </c>
      <c r="R8" s="32">
        <v>3</v>
      </c>
      <c r="S8" s="33">
        <f>6320*2+1264</f>
        <v>13904</v>
      </c>
      <c r="T8" s="34">
        <f>P8+R8</f>
        <v>3</v>
      </c>
      <c r="U8" s="35">
        <f>Q8+S8</f>
        <v>13904</v>
      </c>
      <c r="V8" s="36"/>
      <c r="W8" s="37">
        <f t="shared" ref="W8:W19" si="0">+V8*B8</f>
        <v>0</v>
      </c>
      <c r="X8" s="38">
        <v>12</v>
      </c>
      <c r="Y8" s="39">
        <f>6320*11+948</f>
        <v>70468</v>
      </c>
      <c r="Z8" s="40">
        <f>V8+X8</f>
        <v>12</v>
      </c>
      <c r="AA8" s="41">
        <f>Y8+W8</f>
        <v>70468</v>
      </c>
      <c r="AB8" s="152">
        <f t="shared" ref="AB8:AB22" si="1">+D8+F8+P8+R8+V8+X8</f>
        <v>23</v>
      </c>
      <c r="AC8" s="220">
        <f>+E8+G8+Q8+S8+W8+Y8+K8+M8</f>
        <v>134932</v>
      </c>
      <c r="AD8" s="44"/>
      <c r="AE8" s="156">
        <f>5372+5056</f>
        <v>10428</v>
      </c>
      <c r="AG8" s="187">
        <f>E8+W8+Q8+K8</f>
        <v>0</v>
      </c>
      <c r="AI8" s="156">
        <f>G8+Y8+S8+M8</f>
        <v>134932</v>
      </c>
      <c r="AK8" s="139">
        <f>F8+R8+X8+L8</f>
        <v>23</v>
      </c>
      <c r="AM8" s="139">
        <f>+D8+P8+V8+J8</f>
        <v>0</v>
      </c>
    </row>
    <row r="9" spans="1:39" x14ac:dyDescent="0.25">
      <c r="B9" s="174">
        <v>6320</v>
      </c>
      <c r="C9" s="46" t="s">
        <v>14</v>
      </c>
      <c r="D9" s="47"/>
      <c r="E9" s="48">
        <f t="shared" ref="E9:E19" si="2">+D9*B9</f>
        <v>0</v>
      </c>
      <c r="F9" s="49"/>
      <c r="G9" s="50"/>
      <c r="H9" s="51">
        <f>D9+F9</f>
        <v>0</v>
      </c>
      <c r="I9" s="177">
        <f>G9+E9</f>
        <v>0</v>
      </c>
      <c r="J9" s="207"/>
      <c r="K9" s="241">
        <f t="shared" ref="K9:K19" si="3">+J9*B9</f>
        <v>0</v>
      </c>
      <c r="L9" s="223"/>
      <c r="M9" s="206"/>
      <c r="N9" s="195">
        <f>J9+L9</f>
        <v>0</v>
      </c>
      <c r="O9" s="196">
        <f>M9+K9</f>
        <v>0</v>
      </c>
      <c r="P9" s="53"/>
      <c r="Q9" s="54">
        <f t="shared" ref="Q9:Q19" si="4">+P9*B9</f>
        <v>0</v>
      </c>
      <c r="R9" s="55"/>
      <c r="S9" s="56"/>
      <c r="T9" s="57">
        <f>P9+R9</f>
        <v>0</v>
      </c>
      <c r="U9" s="58">
        <f>S9+Q9</f>
        <v>0</v>
      </c>
      <c r="V9" s="59"/>
      <c r="W9" s="60">
        <f t="shared" si="0"/>
        <v>0</v>
      </c>
      <c r="X9" s="61"/>
      <c r="Y9" s="62"/>
      <c r="Z9" s="63">
        <f>V9+X9</f>
        <v>0</v>
      </c>
      <c r="AA9" s="41">
        <f>Y9+W9</f>
        <v>0</v>
      </c>
      <c r="AB9" s="42">
        <f t="shared" si="1"/>
        <v>0</v>
      </c>
      <c r="AC9" s="188">
        <f t="shared" ref="AC9:AC22" si="5">+E9+G9+Q9+S9+W9+Y9+K9+M9</f>
        <v>0</v>
      </c>
      <c r="AD9" s="44"/>
      <c r="AE9" s="64"/>
      <c r="AG9" s="218">
        <f t="shared" ref="AG9:AG22" si="6">E9+W9+Q9+K9</f>
        <v>0</v>
      </c>
      <c r="AI9" s="64">
        <f t="shared" ref="AI9:AI22" si="7">G9+Y9+S9+M9</f>
        <v>0</v>
      </c>
      <c r="AK9" s="142">
        <f t="shared" ref="AK9:AK22" si="8">F9+R9+X9+L9</f>
        <v>0</v>
      </c>
      <c r="AM9" s="142">
        <f t="shared" ref="AM9:AM22" si="9">+D9+P9+V9+J9</f>
        <v>0</v>
      </c>
    </row>
    <row r="10" spans="1:39" x14ac:dyDescent="0.25">
      <c r="B10" s="174">
        <v>6320</v>
      </c>
      <c r="C10" s="46" t="s">
        <v>16</v>
      </c>
      <c r="D10" s="47"/>
      <c r="E10" s="48">
        <f t="shared" si="2"/>
        <v>0</v>
      </c>
      <c r="F10" s="49"/>
      <c r="G10" s="50"/>
      <c r="H10" s="51">
        <f t="shared" ref="H10:H22" si="10">D10+F10</f>
        <v>0</v>
      </c>
      <c r="I10" s="177">
        <f t="shared" ref="I10:I22" si="11">G10+E10</f>
        <v>0</v>
      </c>
      <c r="J10" s="207"/>
      <c r="K10" s="241">
        <f t="shared" si="3"/>
        <v>0</v>
      </c>
      <c r="L10" s="223"/>
      <c r="M10" s="206"/>
      <c r="N10" s="195">
        <f t="shared" ref="N10:N22" si="12">J10+L10</f>
        <v>0</v>
      </c>
      <c r="O10" s="196">
        <f t="shared" ref="O10:O22" si="13">M10+K10</f>
        <v>0</v>
      </c>
      <c r="P10" s="53"/>
      <c r="Q10" s="54">
        <f t="shared" si="4"/>
        <v>0</v>
      </c>
      <c r="R10" s="55"/>
      <c r="S10" s="56"/>
      <c r="T10" s="57">
        <f t="shared" ref="T10:T22" si="14">P10+R10</f>
        <v>0</v>
      </c>
      <c r="U10" s="58">
        <f t="shared" ref="U10:U22" si="15">S10+Q10</f>
        <v>0</v>
      </c>
      <c r="V10" s="59"/>
      <c r="W10" s="60">
        <f t="shared" si="0"/>
        <v>0</v>
      </c>
      <c r="X10" s="61"/>
      <c r="Y10" s="62"/>
      <c r="Z10" s="63">
        <f t="shared" ref="Z10:Z22" si="16">V10+X10</f>
        <v>0</v>
      </c>
      <c r="AA10" s="41">
        <f t="shared" ref="AA10:AA22" si="17">Y10+W10</f>
        <v>0</v>
      </c>
      <c r="AB10" s="42">
        <f t="shared" si="1"/>
        <v>0</v>
      </c>
      <c r="AC10" s="188">
        <f t="shared" si="5"/>
        <v>0</v>
      </c>
      <c r="AD10" s="44"/>
      <c r="AE10" s="64"/>
      <c r="AG10" s="218">
        <f t="shared" si="6"/>
        <v>0</v>
      </c>
      <c r="AI10" s="64">
        <f t="shared" si="7"/>
        <v>0</v>
      </c>
      <c r="AK10" s="142">
        <f t="shared" si="8"/>
        <v>0</v>
      </c>
      <c r="AM10" s="142">
        <f t="shared" si="9"/>
        <v>0</v>
      </c>
    </row>
    <row r="11" spans="1:39" x14ac:dyDescent="0.25">
      <c r="B11" s="174">
        <v>6320</v>
      </c>
      <c r="C11" s="153" t="s">
        <v>17</v>
      </c>
      <c r="D11" s="65"/>
      <c r="E11" s="48">
        <f t="shared" si="2"/>
        <v>0</v>
      </c>
      <c r="F11" s="49">
        <v>2</v>
      </c>
      <c r="G11" s="50">
        <f>6320*2</f>
        <v>12640</v>
      </c>
      <c r="H11" s="51">
        <f t="shared" si="10"/>
        <v>2</v>
      </c>
      <c r="I11" s="177">
        <f t="shared" si="11"/>
        <v>12640</v>
      </c>
      <c r="J11" s="207"/>
      <c r="K11" s="241">
        <f t="shared" si="3"/>
        <v>0</v>
      </c>
      <c r="L11" s="334"/>
      <c r="M11" s="206"/>
      <c r="N11" s="195">
        <f t="shared" si="12"/>
        <v>0</v>
      </c>
      <c r="O11" s="196">
        <f t="shared" si="13"/>
        <v>0</v>
      </c>
      <c r="P11" s="66"/>
      <c r="Q11" s="54">
        <f t="shared" si="4"/>
        <v>0</v>
      </c>
      <c r="R11" s="67">
        <v>3</v>
      </c>
      <c r="S11" s="56">
        <f>6320*3</f>
        <v>18960</v>
      </c>
      <c r="T11" s="57">
        <f t="shared" si="14"/>
        <v>3</v>
      </c>
      <c r="U11" s="58">
        <f t="shared" si="15"/>
        <v>18960</v>
      </c>
      <c r="V11" s="68"/>
      <c r="W11" s="60">
        <f t="shared" si="0"/>
        <v>0</v>
      </c>
      <c r="X11" s="69">
        <v>5</v>
      </c>
      <c r="Y11" s="62">
        <f>6320*4+1264</f>
        <v>26544</v>
      </c>
      <c r="Z11" s="63">
        <f t="shared" si="16"/>
        <v>5</v>
      </c>
      <c r="AA11" s="41">
        <f t="shared" si="17"/>
        <v>26544</v>
      </c>
      <c r="AB11" s="152">
        <f t="shared" si="1"/>
        <v>10</v>
      </c>
      <c r="AC11" s="220">
        <f t="shared" si="5"/>
        <v>58144</v>
      </c>
      <c r="AD11" s="70"/>
      <c r="AE11" s="151">
        <v>5056</v>
      </c>
      <c r="AG11" s="218">
        <f t="shared" si="6"/>
        <v>0</v>
      </c>
      <c r="AI11" s="151">
        <f t="shared" si="7"/>
        <v>58144</v>
      </c>
      <c r="AK11" s="142">
        <f t="shared" si="8"/>
        <v>10</v>
      </c>
      <c r="AM11" s="142">
        <f t="shared" si="9"/>
        <v>0</v>
      </c>
    </row>
    <row r="12" spans="1:39" x14ac:dyDescent="0.25">
      <c r="B12" s="174">
        <v>6320</v>
      </c>
      <c r="C12" s="153" t="s">
        <v>18</v>
      </c>
      <c r="D12" s="65"/>
      <c r="E12" s="48">
        <f t="shared" si="2"/>
        <v>0</v>
      </c>
      <c r="F12" s="49">
        <v>3</v>
      </c>
      <c r="G12" s="50">
        <f>6320*3</f>
        <v>18960</v>
      </c>
      <c r="H12" s="51">
        <f t="shared" si="10"/>
        <v>3</v>
      </c>
      <c r="I12" s="177">
        <f t="shared" si="11"/>
        <v>18960</v>
      </c>
      <c r="J12" s="207"/>
      <c r="K12" s="241">
        <f t="shared" si="3"/>
        <v>0</v>
      </c>
      <c r="L12" s="334"/>
      <c r="M12" s="206"/>
      <c r="N12" s="195">
        <f t="shared" si="12"/>
        <v>0</v>
      </c>
      <c r="O12" s="196">
        <f t="shared" si="13"/>
        <v>0</v>
      </c>
      <c r="P12" s="66"/>
      <c r="Q12" s="54">
        <f t="shared" si="4"/>
        <v>0</v>
      </c>
      <c r="R12" s="67">
        <v>2</v>
      </c>
      <c r="S12" s="56">
        <f>6320*2</f>
        <v>12640</v>
      </c>
      <c r="T12" s="57">
        <f t="shared" si="14"/>
        <v>2</v>
      </c>
      <c r="U12" s="58">
        <f t="shared" si="15"/>
        <v>12640</v>
      </c>
      <c r="V12" s="68"/>
      <c r="W12" s="60">
        <f t="shared" si="0"/>
        <v>0</v>
      </c>
      <c r="X12" s="69">
        <v>2</v>
      </c>
      <c r="Y12" s="62">
        <f>6320+2528</f>
        <v>8848</v>
      </c>
      <c r="Z12" s="63">
        <f t="shared" si="16"/>
        <v>2</v>
      </c>
      <c r="AA12" s="41">
        <f t="shared" si="17"/>
        <v>8848</v>
      </c>
      <c r="AB12" s="152">
        <f t="shared" si="1"/>
        <v>7</v>
      </c>
      <c r="AC12" s="220">
        <f t="shared" si="5"/>
        <v>40448</v>
      </c>
      <c r="AD12" s="71"/>
      <c r="AE12" s="151">
        <v>3792</v>
      </c>
      <c r="AG12" s="218">
        <f t="shared" si="6"/>
        <v>0</v>
      </c>
      <c r="AI12" s="151">
        <f t="shared" si="7"/>
        <v>40448</v>
      </c>
      <c r="AK12" s="142">
        <f t="shared" si="8"/>
        <v>7</v>
      </c>
      <c r="AM12" s="142">
        <f t="shared" si="9"/>
        <v>0</v>
      </c>
    </row>
    <row r="13" spans="1:39" x14ac:dyDescent="0.25">
      <c r="B13" s="174">
        <v>6320</v>
      </c>
      <c r="C13" s="46" t="s">
        <v>19</v>
      </c>
      <c r="D13" s="65"/>
      <c r="E13" s="48">
        <f t="shared" si="2"/>
        <v>0</v>
      </c>
      <c r="F13" s="49"/>
      <c r="G13" s="50"/>
      <c r="H13" s="51">
        <f t="shared" si="10"/>
        <v>0</v>
      </c>
      <c r="I13" s="177">
        <f t="shared" si="11"/>
        <v>0</v>
      </c>
      <c r="J13" s="207"/>
      <c r="K13" s="241">
        <f t="shared" si="3"/>
        <v>0</v>
      </c>
      <c r="L13" s="334"/>
      <c r="M13" s="206"/>
      <c r="N13" s="195">
        <f t="shared" si="12"/>
        <v>0</v>
      </c>
      <c r="O13" s="196">
        <f t="shared" si="13"/>
        <v>0</v>
      </c>
      <c r="P13" s="66"/>
      <c r="Q13" s="54">
        <f t="shared" si="4"/>
        <v>0</v>
      </c>
      <c r="R13" s="67"/>
      <c r="S13" s="56"/>
      <c r="T13" s="57">
        <f t="shared" si="14"/>
        <v>0</v>
      </c>
      <c r="U13" s="58">
        <f t="shared" si="15"/>
        <v>0</v>
      </c>
      <c r="V13" s="68"/>
      <c r="W13" s="60">
        <f t="shared" si="0"/>
        <v>0</v>
      </c>
      <c r="X13" s="69"/>
      <c r="Y13" s="62"/>
      <c r="Z13" s="63">
        <f t="shared" si="16"/>
        <v>0</v>
      </c>
      <c r="AA13" s="41">
        <f t="shared" si="17"/>
        <v>0</v>
      </c>
      <c r="AB13" s="42">
        <f t="shared" si="1"/>
        <v>0</v>
      </c>
      <c r="AC13" s="188">
        <f t="shared" si="5"/>
        <v>0</v>
      </c>
      <c r="AD13" s="70"/>
      <c r="AE13" s="64"/>
      <c r="AG13" s="218">
        <f t="shared" si="6"/>
        <v>0</v>
      </c>
      <c r="AI13" s="64">
        <f t="shared" si="7"/>
        <v>0</v>
      </c>
      <c r="AK13" s="142">
        <f t="shared" si="8"/>
        <v>0</v>
      </c>
      <c r="AM13" s="142">
        <f t="shared" si="9"/>
        <v>0</v>
      </c>
    </row>
    <row r="14" spans="1:39" x14ac:dyDescent="0.25">
      <c r="B14" s="174">
        <v>6320</v>
      </c>
      <c r="C14" s="46" t="s">
        <v>20</v>
      </c>
      <c r="D14" s="65"/>
      <c r="E14" s="48">
        <f t="shared" si="2"/>
        <v>0</v>
      </c>
      <c r="F14" s="49"/>
      <c r="G14" s="50"/>
      <c r="H14" s="51">
        <f t="shared" si="10"/>
        <v>0</v>
      </c>
      <c r="I14" s="177">
        <f t="shared" si="11"/>
        <v>0</v>
      </c>
      <c r="J14" s="207"/>
      <c r="K14" s="241">
        <f t="shared" si="3"/>
        <v>0</v>
      </c>
      <c r="L14" s="334"/>
      <c r="M14" s="206"/>
      <c r="N14" s="195">
        <f t="shared" si="12"/>
        <v>0</v>
      </c>
      <c r="O14" s="196">
        <f t="shared" si="13"/>
        <v>0</v>
      </c>
      <c r="P14" s="66"/>
      <c r="Q14" s="54">
        <f t="shared" si="4"/>
        <v>0</v>
      </c>
      <c r="R14" s="67"/>
      <c r="S14" s="56"/>
      <c r="T14" s="57">
        <f t="shared" si="14"/>
        <v>0</v>
      </c>
      <c r="U14" s="58">
        <f t="shared" si="15"/>
        <v>0</v>
      </c>
      <c r="V14" s="68"/>
      <c r="W14" s="60">
        <f t="shared" si="0"/>
        <v>0</v>
      </c>
      <c r="X14" s="69"/>
      <c r="Y14" s="62"/>
      <c r="Z14" s="63">
        <f t="shared" si="16"/>
        <v>0</v>
      </c>
      <c r="AA14" s="41">
        <f t="shared" si="17"/>
        <v>0</v>
      </c>
      <c r="AB14" s="42">
        <f t="shared" si="1"/>
        <v>0</v>
      </c>
      <c r="AC14" s="188">
        <f t="shared" si="5"/>
        <v>0</v>
      </c>
      <c r="AD14" s="70"/>
      <c r="AE14" s="64"/>
      <c r="AG14" s="218">
        <f t="shared" si="6"/>
        <v>0</v>
      </c>
      <c r="AI14" s="64">
        <f t="shared" si="7"/>
        <v>0</v>
      </c>
      <c r="AK14" s="142">
        <f t="shared" si="8"/>
        <v>0</v>
      </c>
      <c r="AM14" s="142">
        <f t="shared" si="9"/>
        <v>0</v>
      </c>
    </row>
    <row r="15" spans="1:39" x14ac:dyDescent="0.25">
      <c r="B15" s="174">
        <v>6320</v>
      </c>
      <c r="C15" s="153" t="s">
        <v>21</v>
      </c>
      <c r="D15" s="65"/>
      <c r="E15" s="48">
        <f t="shared" si="2"/>
        <v>0</v>
      </c>
      <c r="F15" s="49"/>
      <c r="G15" s="50"/>
      <c r="H15" s="51">
        <f t="shared" si="10"/>
        <v>0</v>
      </c>
      <c r="I15" s="177">
        <f t="shared" si="11"/>
        <v>0</v>
      </c>
      <c r="J15" s="207"/>
      <c r="K15" s="241">
        <f t="shared" si="3"/>
        <v>0</v>
      </c>
      <c r="L15" s="334"/>
      <c r="M15" s="206"/>
      <c r="N15" s="195">
        <f t="shared" si="12"/>
        <v>0</v>
      </c>
      <c r="O15" s="196">
        <f t="shared" si="13"/>
        <v>0</v>
      </c>
      <c r="P15" s="66"/>
      <c r="Q15" s="54">
        <f t="shared" si="4"/>
        <v>0</v>
      </c>
      <c r="R15" s="67">
        <v>6</v>
      </c>
      <c r="S15" s="56">
        <f>6320*6</f>
        <v>37920</v>
      </c>
      <c r="T15" s="57">
        <f t="shared" si="14"/>
        <v>6</v>
      </c>
      <c r="U15" s="58">
        <f t="shared" si="15"/>
        <v>37920</v>
      </c>
      <c r="V15" s="68"/>
      <c r="W15" s="60">
        <f t="shared" si="0"/>
        <v>0</v>
      </c>
      <c r="X15" s="69"/>
      <c r="Y15" s="62"/>
      <c r="Z15" s="63">
        <f t="shared" si="16"/>
        <v>0</v>
      </c>
      <c r="AA15" s="41">
        <f t="shared" si="17"/>
        <v>0</v>
      </c>
      <c r="AB15" s="152">
        <f t="shared" si="1"/>
        <v>6</v>
      </c>
      <c r="AC15" s="220">
        <f t="shared" si="5"/>
        <v>37920</v>
      </c>
      <c r="AD15" s="70"/>
      <c r="AE15" s="64"/>
      <c r="AG15" s="218">
        <f t="shared" si="6"/>
        <v>0</v>
      </c>
      <c r="AI15" s="151">
        <f t="shared" si="7"/>
        <v>37920</v>
      </c>
      <c r="AK15" s="142">
        <f t="shared" si="8"/>
        <v>6</v>
      </c>
      <c r="AM15" s="142">
        <f t="shared" si="9"/>
        <v>0</v>
      </c>
    </row>
    <row r="16" spans="1:39" x14ac:dyDescent="0.25">
      <c r="B16" s="174" t="s">
        <v>26</v>
      </c>
      <c r="C16" s="46" t="s">
        <v>33</v>
      </c>
      <c r="D16" s="65"/>
      <c r="E16" s="48">
        <v>0</v>
      </c>
      <c r="F16" s="49"/>
      <c r="G16" s="50"/>
      <c r="H16" s="51">
        <f t="shared" si="10"/>
        <v>0</v>
      </c>
      <c r="I16" s="177">
        <f t="shared" si="11"/>
        <v>0</v>
      </c>
      <c r="J16" s="207"/>
      <c r="K16" s="241">
        <v>0</v>
      </c>
      <c r="L16" s="334"/>
      <c r="M16" s="206"/>
      <c r="N16" s="195">
        <f t="shared" si="12"/>
        <v>0</v>
      </c>
      <c r="O16" s="196">
        <f t="shared" si="13"/>
        <v>0</v>
      </c>
      <c r="P16" s="66"/>
      <c r="Q16" s="54">
        <v>0</v>
      </c>
      <c r="R16" s="67"/>
      <c r="S16" s="56"/>
      <c r="T16" s="57">
        <f t="shared" si="14"/>
        <v>0</v>
      </c>
      <c r="U16" s="58">
        <v>0</v>
      </c>
      <c r="V16" s="68"/>
      <c r="W16" s="60">
        <v>0</v>
      </c>
      <c r="X16" s="69"/>
      <c r="Y16" s="62"/>
      <c r="Z16" s="63">
        <f>+X16+V16</f>
        <v>0</v>
      </c>
      <c r="AA16" s="41">
        <f>+Y16+W16</f>
        <v>0</v>
      </c>
      <c r="AB16" s="42">
        <f t="shared" si="1"/>
        <v>0</v>
      </c>
      <c r="AC16" s="188">
        <f t="shared" si="5"/>
        <v>0</v>
      </c>
      <c r="AD16" s="70"/>
      <c r="AE16" s="64"/>
      <c r="AG16" s="218">
        <f t="shared" si="6"/>
        <v>0</v>
      </c>
      <c r="AI16" s="64">
        <f t="shared" si="7"/>
        <v>0</v>
      </c>
      <c r="AK16" s="142">
        <f t="shared" si="8"/>
        <v>0</v>
      </c>
      <c r="AM16" s="142">
        <f t="shared" si="9"/>
        <v>0</v>
      </c>
    </row>
    <row r="17" spans="2:41" x14ac:dyDescent="0.25">
      <c r="B17" s="175">
        <v>14010</v>
      </c>
      <c r="C17" s="153" t="s">
        <v>23</v>
      </c>
      <c r="D17" s="65"/>
      <c r="E17" s="48">
        <f t="shared" si="2"/>
        <v>0</v>
      </c>
      <c r="F17" s="49"/>
      <c r="G17" s="50"/>
      <c r="H17" s="51">
        <f t="shared" si="10"/>
        <v>0</v>
      </c>
      <c r="I17" s="177">
        <f t="shared" si="11"/>
        <v>0</v>
      </c>
      <c r="J17" s="207"/>
      <c r="K17" s="241">
        <f t="shared" si="3"/>
        <v>0</v>
      </c>
      <c r="L17" s="334"/>
      <c r="M17" s="206"/>
      <c r="N17" s="195">
        <f t="shared" si="12"/>
        <v>0</v>
      </c>
      <c r="O17" s="196">
        <f t="shared" si="13"/>
        <v>0</v>
      </c>
      <c r="P17" s="66"/>
      <c r="Q17" s="54">
        <f t="shared" si="4"/>
        <v>0</v>
      </c>
      <c r="R17" s="67">
        <v>6</v>
      </c>
      <c r="S17" s="56">
        <f>14010*5+6163</f>
        <v>76213</v>
      </c>
      <c r="T17" s="57">
        <f t="shared" si="14"/>
        <v>6</v>
      </c>
      <c r="U17" s="58">
        <f t="shared" si="15"/>
        <v>76213</v>
      </c>
      <c r="V17" s="68"/>
      <c r="W17" s="60">
        <f t="shared" si="0"/>
        <v>0</v>
      </c>
      <c r="X17" s="69">
        <v>5</v>
      </c>
      <c r="Y17" s="62">
        <f>14010*5</f>
        <v>70050</v>
      </c>
      <c r="Z17" s="63">
        <f t="shared" si="16"/>
        <v>5</v>
      </c>
      <c r="AA17" s="41">
        <f t="shared" si="17"/>
        <v>70050</v>
      </c>
      <c r="AB17" s="152">
        <f t="shared" si="1"/>
        <v>11</v>
      </c>
      <c r="AC17" s="220">
        <f t="shared" si="5"/>
        <v>146263</v>
      </c>
      <c r="AD17" s="70"/>
      <c r="AE17" s="151">
        <v>7847</v>
      </c>
      <c r="AG17" s="218">
        <f t="shared" si="6"/>
        <v>0</v>
      </c>
      <c r="AI17" s="151">
        <f t="shared" si="7"/>
        <v>146263</v>
      </c>
      <c r="AK17" s="142">
        <f t="shared" si="8"/>
        <v>11</v>
      </c>
      <c r="AM17" s="142">
        <f t="shared" si="9"/>
        <v>0</v>
      </c>
    </row>
    <row r="18" spans="2:41" x14ac:dyDescent="0.25">
      <c r="B18" s="174">
        <v>11870</v>
      </c>
      <c r="C18" s="46" t="s">
        <v>24</v>
      </c>
      <c r="D18" s="65"/>
      <c r="E18" s="48">
        <f t="shared" si="2"/>
        <v>0</v>
      </c>
      <c r="F18" s="49"/>
      <c r="G18" s="50"/>
      <c r="H18" s="51">
        <f t="shared" si="10"/>
        <v>0</v>
      </c>
      <c r="I18" s="177">
        <f t="shared" si="11"/>
        <v>0</v>
      </c>
      <c r="J18" s="207"/>
      <c r="K18" s="241">
        <f t="shared" si="3"/>
        <v>0</v>
      </c>
      <c r="L18" s="334"/>
      <c r="M18" s="206"/>
      <c r="N18" s="195">
        <f t="shared" si="12"/>
        <v>0</v>
      </c>
      <c r="O18" s="196">
        <f t="shared" si="13"/>
        <v>0</v>
      </c>
      <c r="P18" s="66"/>
      <c r="Q18" s="54">
        <f t="shared" si="4"/>
        <v>0</v>
      </c>
      <c r="R18" s="67"/>
      <c r="S18" s="56"/>
      <c r="T18" s="57">
        <f t="shared" si="14"/>
        <v>0</v>
      </c>
      <c r="U18" s="58">
        <f t="shared" si="15"/>
        <v>0</v>
      </c>
      <c r="V18" s="68"/>
      <c r="W18" s="60">
        <f t="shared" si="0"/>
        <v>0</v>
      </c>
      <c r="X18" s="69"/>
      <c r="Y18" s="62"/>
      <c r="Z18" s="63">
        <f t="shared" si="16"/>
        <v>0</v>
      </c>
      <c r="AA18" s="41">
        <f t="shared" si="17"/>
        <v>0</v>
      </c>
      <c r="AB18" s="42">
        <f t="shared" si="1"/>
        <v>0</v>
      </c>
      <c r="AC18" s="188">
        <f t="shared" si="5"/>
        <v>0</v>
      </c>
      <c r="AD18" s="70"/>
      <c r="AE18" s="64"/>
      <c r="AG18" s="218">
        <f t="shared" si="6"/>
        <v>0</v>
      </c>
      <c r="AI18" s="64">
        <f t="shared" si="7"/>
        <v>0</v>
      </c>
      <c r="AK18" s="142">
        <f t="shared" si="8"/>
        <v>0</v>
      </c>
      <c r="AM18" s="142">
        <f t="shared" si="9"/>
        <v>0</v>
      </c>
    </row>
    <row r="19" spans="2:41" x14ac:dyDescent="0.25">
      <c r="B19" s="174">
        <v>6710</v>
      </c>
      <c r="C19" s="153" t="s">
        <v>0</v>
      </c>
      <c r="D19" s="65"/>
      <c r="E19" s="48">
        <f t="shared" si="2"/>
        <v>0</v>
      </c>
      <c r="F19" s="72"/>
      <c r="G19" s="50"/>
      <c r="H19" s="51">
        <f t="shared" si="10"/>
        <v>0</v>
      </c>
      <c r="I19" s="177">
        <f t="shared" si="11"/>
        <v>0</v>
      </c>
      <c r="J19" s="207"/>
      <c r="K19" s="241">
        <f t="shared" si="3"/>
        <v>0</v>
      </c>
      <c r="L19" s="335"/>
      <c r="M19" s="206"/>
      <c r="N19" s="195">
        <f t="shared" si="12"/>
        <v>0</v>
      </c>
      <c r="O19" s="196">
        <f t="shared" si="13"/>
        <v>0</v>
      </c>
      <c r="P19" s="66"/>
      <c r="Q19" s="54">
        <f t="shared" si="4"/>
        <v>0</v>
      </c>
      <c r="R19" s="73">
        <v>1</v>
      </c>
      <c r="S19" s="56">
        <v>6710</v>
      </c>
      <c r="T19" s="57">
        <f t="shared" si="14"/>
        <v>1</v>
      </c>
      <c r="U19" s="58">
        <f t="shared" si="15"/>
        <v>6710</v>
      </c>
      <c r="V19" s="68"/>
      <c r="W19" s="60">
        <f t="shared" si="0"/>
        <v>0</v>
      </c>
      <c r="X19" s="74">
        <v>5</v>
      </c>
      <c r="Y19" s="62">
        <f>6710*5</f>
        <v>33550</v>
      </c>
      <c r="Z19" s="63">
        <f t="shared" si="16"/>
        <v>5</v>
      </c>
      <c r="AA19" s="41">
        <f t="shared" si="17"/>
        <v>33550</v>
      </c>
      <c r="AB19" s="152">
        <f t="shared" si="1"/>
        <v>6</v>
      </c>
      <c r="AC19" s="220">
        <f t="shared" si="5"/>
        <v>40260</v>
      </c>
      <c r="AD19" s="70"/>
      <c r="AE19" s="64"/>
      <c r="AF19" s="1" t="s">
        <v>25</v>
      </c>
      <c r="AG19" s="218">
        <f t="shared" si="6"/>
        <v>0</v>
      </c>
      <c r="AI19" s="151">
        <f t="shared" si="7"/>
        <v>40260</v>
      </c>
      <c r="AK19" s="142">
        <f t="shared" si="8"/>
        <v>6</v>
      </c>
      <c r="AM19" s="142">
        <f t="shared" si="9"/>
        <v>0</v>
      </c>
    </row>
    <row r="20" spans="2:41" x14ac:dyDescent="0.25">
      <c r="B20" s="174" t="s">
        <v>26</v>
      </c>
      <c r="C20" s="46" t="s">
        <v>0</v>
      </c>
      <c r="D20" s="65"/>
      <c r="E20" s="48">
        <v>0</v>
      </c>
      <c r="F20" s="49"/>
      <c r="G20" s="50"/>
      <c r="H20" s="51">
        <f t="shared" si="10"/>
        <v>0</v>
      </c>
      <c r="I20" s="177">
        <f t="shared" si="11"/>
        <v>0</v>
      </c>
      <c r="J20" s="207"/>
      <c r="K20" s="241">
        <v>0</v>
      </c>
      <c r="L20" s="334"/>
      <c r="M20" s="206"/>
      <c r="N20" s="195">
        <f t="shared" si="12"/>
        <v>0</v>
      </c>
      <c r="O20" s="196">
        <f t="shared" si="13"/>
        <v>0</v>
      </c>
      <c r="P20" s="66"/>
      <c r="Q20" s="54">
        <v>0</v>
      </c>
      <c r="R20" s="67"/>
      <c r="S20" s="56"/>
      <c r="T20" s="57">
        <f t="shared" si="14"/>
        <v>0</v>
      </c>
      <c r="U20" s="58">
        <f t="shared" si="15"/>
        <v>0</v>
      </c>
      <c r="V20" s="68"/>
      <c r="W20" s="60">
        <v>0</v>
      </c>
      <c r="X20" s="69"/>
      <c r="Y20" s="62"/>
      <c r="Z20" s="63">
        <f t="shared" si="16"/>
        <v>0</v>
      </c>
      <c r="AA20" s="41">
        <f t="shared" si="17"/>
        <v>0</v>
      </c>
      <c r="AB20" s="42">
        <f t="shared" si="1"/>
        <v>0</v>
      </c>
      <c r="AC20" s="188">
        <f t="shared" si="5"/>
        <v>0</v>
      </c>
      <c r="AD20" s="70"/>
      <c r="AE20" s="64"/>
      <c r="AG20" s="218">
        <f t="shared" si="6"/>
        <v>0</v>
      </c>
      <c r="AI20" s="64">
        <f t="shared" si="7"/>
        <v>0</v>
      </c>
      <c r="AK20" s="142">
        <f t="shared" si="8"/>
        <v>0</v>
      </c>
      <c r="AM20" s="142">
        <f t="shared" si="9"/>
        <v>0</v>
      </c>
    </row>
    <row r="21" spans="2:41" x14ac:dyDescent="0.25">
      <c r="B21" s="174" t="s">
        <v>26</v>
      </c>
      <c r="C21" s="153" t="s">
        <v>28</v>
      </c>
      <c r="D21" s="65"/>
      <c r="E21" s="75">
        <v>0</v>
      </c>
      <c r="F21" s="49">
        <v>5</v>
      </c>
      <c r="G21" s="50">
        <f>13750+24700+9614+18517+24700</f>
        <v>91281</v>
      </c>
      <c r="H21" s="51">
        <f t="shared" si="10"/>
        <v>5</v>
      </c>
      <c r="I21" s="177">
        <f t="shared" si="11"/>
        <v>91281</v>
      </c>
      <c r="J21" s="207"/>
      <c r="K21" s="241">
        <v>0</v>
      </c>
      <c r="L21" s="334"/>
      <c r="M21" s="206"/>
      <c r="N21" s="195">
        <f t="shared" si="12"/>
        <v>0</v>
      </c>
      <c r="O21" s="196">
        <f t="shared" si="13"/>
        <v>0</v>
      </c>
      <c r="P21" s="66"/>
      <c r="Q21" s="54">
        <v>0</v>
      </c>
      <c r="R21" s="67">
        <v>9</v>
      </c>
      <c r="S21" s="56">
        <f>56280+13750*5+17160+30910+24700</f>
        <v>197800</v>
      </c>
      <c r="T21" s="57">
        <f t="shared" si="14"/>
        <v>9</v>
      </c>
      <c r="U21" s="58">
        <f t="shared" si="15"/>
        <v>197800</v>
      </c>
      <c r="V21" s="68"/>
      <c r="W21" s="60">
        <v>0</v>
      </c>
      <c r="X21" s="69">
        <v>3</v>
      </c>
      <c r="Y21" s="62">
        <f>13750*3</f>
        <v>41250</v>
      </c>
      <c r="Z21" s="63">
        <f t="shared" si="16"/>
        <v>3</v>
      </c>
      <c r="AA21" s="41">
        <f t="shared" si="17"/>
        <v>41250</v>
      </c>
      <c r="AB21" s="152">
        <f t="shared" si="1"/>
        <v>17</v>
      </c>
      <c r="AC21" s="220">
        <f t="shared" si="5"/>
        <v>330331</v>
      </c>
      <c r="AD21" s="70"/>
      <c r="AE21" s="151">
        <f>19273+15086</f>
        <v>34359</v>
      </c>
      <c r="AG21" s="218">
        <f t="shared" si="6"/>
        <v>0</v>
      </c>
      <c r="AI21" s="151">
        <f t="shared" si="7"/>
        <v>330331</v>
      </c>
      <c r="AK21" s="142">
        <f t="shared" si="8"/>
        <v>17</v>
      </c>
      <c r="AM21" s="142">
        <f t="shared" si="9"/>
        <v>0</v>
      </c>
    </row>
    <row r="22" spans="2:41" ht="15.75" thickBot="1" x14ac:dyDescent="0.3">
      <c r="B22" s="176" t="s">
        <v>26</v>
      </c>
      <c r="C22" s="155" t="s">
        <v>29</v>
      </c>
      <c r="D22" s="77"/>
      <c r="E22" s="78">
        <v>0</v>
      </c>
      <c r="F22" s="79">
        <v>2</v>
      </c>
      <c r="G22" s="80">
        <f>12800+13040</f>
        <v>25840</v>
      </c>
      <c r="H22" s="81">
        <f t="shared" si="10"/>
        <v>2</v>
      </c>
      <c r="I22" s="239">
        <f t="shared" si="11"/>
        <v>25840</v>
      </c>
      <c r="J22" s="242"/>
      <c r="K22" s="243">
        <v>0</v>
      </c>
      <c r="L22" s="336"/>
      <c r="M22" s="213"/>
      <c r="N22" s="197">
        <f t="shared" si="12"/>
        <v>0</v>
      </c>
      <c r="O22" s="198">
        <f t="shared" si="13"/>
        <v>0</v>
      </c>
      <c r="P22" s="83"/>
      <c r="Q22" s="84">
        <v>0</v>
      </c>
      <c r="R22" s="85">
        <v>4</v>
      </c>
      <c r="S22" s="86">
        <f>3215+12380+13040+13920</f>
        <v>42555</v>
      </c>
      <c r="T22" s="87">
        <f t="shared" si="14"/>
        <v>4</v>
      </c>
      <c r="U22" s="88">
        <f t="shared" si="15"/>
        <v>42555</v>
      </c>
      <c r="V22" s="89"/>
      <c r="W22" s="60">
        <v>0</v>
      </c>
      <c r="X22" s="90">
        <v>5</v>
      </c>
      <c r="Y22" s="91">
        <f>12800+1690+6430+21550+13920</f>
        <v>56390</v>
      </c>
      <c r="Z22" s="92">
        <f t="shared" si="16"/>
        <v>5</v>
      </c>
      <c r="AA22" s="93">
        <f t="shared" si="17"/>
        <v>56390</v>
      </c>
      <c r="AB22" s="152">
        <f t="shared" si="1"/>
        <v>11</v>
      </c>
      <c r="AC22" s="220">
        <f t="shared" si="5"/>
        <v>124785</v>
      </c>
      <c r="AD22" s="70"/>
      <c r="AE22" s="154">
        <f>6760+3215</f>
        <v>9975</v>
      </c>
      <c r="AG22" s="219">
        <f t="shared" si="6"/>
        <v>0</v>
      </c>
      <c r="AI22" s="154">
        <f t="shared" si="7"/>
        <v>124785</v>
      </c>
      <c r="AK22" s="144">
        <f t="shared" si="8"/>
        <v>11</v>
      </c>
      <c r="AM22" s="144">
        <f t="shared" si="9"/>
        <v>0</v>
      </c>
    </row>
    <row r="23" spans="2:41" ht="15.75" thickBot="1" x14ac:dyDescent="0.3">
      <c r="D23" s="95">
        <f t="shared" ref="D23:I23" si="18">SUM(D8:D22)</f>
        <v>0</v>
      </c>
      <c r="E23" s="96">
        <f t="shared" si="18"/>
        <v>0</v>
      </c>
      <c r="F23" s="95">
        <f t="shared" si="18"/>
        <v>20</v>
      </c>
      <c r="G23" s="97">
        <f t="shared" si="18"/>
        <v>199281</v>
      </c>
      <c r="H23" s="98">
        <f t="shared" si="18"/>
        <v>20</v>
      </c>
      <c r="I23" s="99">
        <f t="shared" si="18"/>
        <v>199281</v>
      </c>
      <c r="J23" s="240">
        <f t="shared" ref="J23:O23" si="19">SUM(J8:J22)</f>
        <v>0</v>
      </c>
      <c r="K23" s="226">
        <f t="shared" si="19"/>
        <v>0</v>
      </c>
      <c r="L23" s="214">
        <f t="shared" si="19"/>
        <v>0</v>
      </c>
      <c r="M23" s="216">
        <f t="shared" si="19"/>
        <v>0</v>
      </c>
      <c r="N23" s="217">
        <f t="shared" si="19"/>
        <v>0</v>
      </c>
      <c r="O23" s="99">
        <f t="shared" si="19"/>
        <v>0</v>
      </c>
      <c r="P23" s="100">
        <f t="shared" ref="P23:AA23" si="20">SUM(P8:P22)</f>
        <v>0</v>
      </c>
      <c r="Q23" s="101">
        <f t="shared" si="20"/>
        <v>0</v>
      </c>
      <c r="R23" s="100">
        <f t="shared" si="20"/>
        <v>34</v>
      </c>
      <c r="S23" s="102">
        <f t="shared" si="20"/>
        <v>406702</v>
      </c>
      <c r="T23" s="103">
        <f t="shared" si="20"/>
        <v>34</v>
      </c>
      <c r="U23" s="104">
        <f t="shared" si="20"/>
        <v>406702</v>
      </c>
      <c r="V23" s="105">
        <f t="shared" si="20"/>
        <v>0</v>
      </c>
      <c r="W23" s="106">
        <f t="shared" si="20"/>
        <v>0</v>
      </c>
      <c r="X23" s="105">
        <f t="shared" si="20"/>
        <v>37</v>
      </c>
      <c r="Y23" s="107">
        <f t="shared" si="20"/>
        <v>307100</v>
      </c>
      <c r="Z23" s="108">
        <f t="shared" si="20"/>
        <v>37</v>
      </c>
      <c r="AA23" s="104">
        <f t="shared" si="20"/>
        <v>307100</v>
      </c>
      <c r="AB23" s="109" t="s">
        <v>9</v>
      </c>
      <c r="AC23" s="43">
        <f>SUM(AC8:AC22)</f>
        <v>913083</v>
      </c>
      <c r="AD23" s="70"/>
      <c r="AE23" s="1">
        <f>SUM(AE8:AE22)</f>
        <v>71457</v>
      </c>
      <c r="AI23" s="110"/>
      <c r="AK23" s="1">
        <f>SUM(AK8:AK22)</f>
        <v>91</v>
      </c>
      <c r="AM23" s="1">
        <f>SUM(AM8:AM22)</f>
        <v>0</v>
      </c>
      <c r="AO23" s="1">
        <f>+AK23+AM23</f>
        <v>91</v>
      </c>
    </row>
    <row r="24" spans="2:41" x14ac:dyDescent="0.25">
      <c r="G24" s="111"/>
      <c r="H24" s="111"/>
      <c r="I24" s="111"/>
      <c r="M24" s="111"/>
      <c r="N24" s="111"/>
      <c r="O24" s="111"/>
      <c r="P24" s="111"/>
      <c r="Q24" s="111"/>
      <c r="R24" s="112">
        <f>X23+F23+R23+L23</f>
        <v>91</v>
      </c>
      <c r="S24" s="113">
        <f>G23+Y23+S23+M23</f>
        <v>913083</v>
      </c>
      <c r="T24" s="111"/>
      <c r="U24" s="111"/>
      <c r="V24" s="111"/>
      <c r="W24" s="111"/>
      <c r="X24" s="111"/>
      <c r="Y24" s="111"/>
      <c r="Z24" s="111"/>
      <c r="AA24" s="111"/>
      <c r="AB24" s="2"/>
      <c r="AC24" s="70">
        <f>AA23+U23+I23+O23</f>
        <v>913083</v>
      </c>
      <c r="AD24" s="2"/>
    </row>
    <row r="25" spans="2:41" x14ac:dyDescent="0.25">
      <c r="D25" s="114" t="s">
        <v>30</v>
      </c>
      <c r="E25" s="114"/>
      <c r="G25" s="114"/>
      <c r="H25" s="114"/>
      <c r="I25" s="114"/>
      <c r="J25" s="114" t="s">
        <v>30</v>
      </c>
      <c r="K25" s="114"/>
      <c r="M25" s="114"/>
      <c r="N25" s="114"/>
      <c r="O25" s="114"/>
      <c r="P25" s="114"/>
      <c r="Q25" s="114"/>
      <c r="R25" s="114"/>
      <c r="S25" s="114"/>
      <c r="T25" s="114"/>
      <c r="U25" s="114"/>
      <c r="AA25" s="2"/>
      <c r="AB25" s="2"/>
      <c r="AC25" s="2"/>
      <c r="AD25" s="2"/>
    </row>
    <row r="26" spans="2:41" x14ac:dyDescent="0.25">
      <c r="D26" s="114"/>
      <c r="E26" s="114"/>
      <c r="J26" s="114"/>
      <c r="K26" s="114"/>
      <c r="P26" s="1"/>
      <c r="Q26" s="1"/>
      <c r="R26" s="1"/>
      <c r="S26" s="1"/>
      <c r="T26" s="1"/>
      <c r="U26" s="1"/>
      <c r="AA26" s="2"/>
      <c r="AB26" s="2"/>
      <c r="AC26" s="2"/>
      <c r="AD26" s="2"/>
    </row>
    <row r="27" spans="2:41" x14ac:dyDescent="0.25">
      <c r="C27" s="115">
        <v>20000</v>
      </c>
      <c r="D27" s="115"/>
      <c r="E27" s="115"/>
      <c r="F27" s="116"/>
      <c r="G27" s="117"/>
      <c r="H27" s="118"/>
      <c r="I27" s="119">
        <v>20000</v>
      </c>
      <c r="J27" s="115"/>
      <c r="K27" s="115"/>
      <c r="L27" s="116"/>
      <c r="M27" s="117"/>
      <c r="N27" s="118"/>
      <c r="O27" s="119"/>
      <c r="P27" s="119"/>
      <c r="Q27" s="119"/>
      <c r="R27" s="119"/>
      <c r="S27" s="119"/>
      <c r="T27" s="119"/>
      <c r="U27" s="119">
        <v>200000</v>
      </c>
      <c r="V27" s="119"/>
      <c r="W27" s="119"/>
      <c r="X27" s="120"/>
      <c r="Y27" s="121"/>
      <c r="Z27" s="120"/>
      <c r="AA27" s="119">
        <v>100000</v>
      </c>
      <c r="AB27" s="122"/>
      <c r="AC27" s="122"/>
      <c r="AD27" s="2"/>
      <c r="AE27" s="2"/>
      <c r="AF27" s="2"/>
    </row>
    <row r="28" spans="2:41" x14ac:dyDescent="0.25">
      <c r="C28" s="115">
        <v>10000</v>
      </c>
      <c r="D28" s="115"/>
      <c r="E28" s="115"/>
      <c r="F28" s="116"/>
      <c r="G28" s="117"/>
      <c r="H28" s="118"/>
      <c r="I28" s="119">
        <v>170000</v>
      </c>
      <c r="J28" s="115"/>
      <c r="K28" s="115"/>
      <c r="L28" s="116"/>
      <c r="M28" s="117"/>
      <c r="N28" s="118"/>
      <c r="O28" s="119"/>
      <c r="P28" s="119"/>
      <c r="Q28" s="119"/>
      <c r="R28" s="119"/>
      <c r="S28" s="119"/>
      <c r="T28" s="119"/>
      <c r="U28" s="119">
        <v>170000</v>
      </c>
      <c r="V28" s="119"/>
      <c r="W28" s="119"/>
      <c r="X28" s="120"/>
      <c r="Y28" s="122"/>
      <c r="Z28" s="120"/>
      <c r="AA28" s="119">
        <v>80000</v>
      </c>
      <c r="AB28" s="122"/>
      <c r="AC28" s="122"/>
      <c r="AD28" s="2"/>
      <c r="AE28" s="2"/>
      <c r="AF28" s="2"/>
    </row>
    <row r="29" spans="2:41" x14ac:dyDescent="0.25">
      <c r="C29" s="115">
        <v>5000</v>
      </c>
      <c r="D29" s="115"/>
      <c r="E29" s="115"/>
      <c r="F29" s="116"/>
      <c r="G29" s="117"/>
      <c r="H29" s="118"/>
      <c r="I29" s="119">
        <v>5000</v>
      </c>
      <c r="J29" s="115"/>
      <c r="K29" s="115"/>
      <c r="L29" s="116"/>
      <c r="M29" s="117"/>
      <c r="N29" s="118"/>
      <c r="O29" s="119"/>
      <c r="P29" s="119"/>
      <c r="Q29" s="119"/>
      <c r="R29" s="119"/>
      <c r="S29" s="119"/>
      <c r="T29" s="119"/>
      <c r="U29" s="119">
        <v>5000</v>
      </c>
      <c r="V29" s="119"/>
      <c r="W29" s="119"/>
      <c r="X29" s="120"/>
      <c r="Y29" s="121"/>
      <c r="Z29" s="120"/>
      <c r="AA29" s="119">
        <v>10000</v>
      </c>
      <c r="AB29" s="122"/>
      <c r="AC29" s="122"/>
      <c r="AD29" s="2"/>
      <c r="AE29" s="2"/>
      <c r="AF29" s="2"/>
    </row>
    <row r="30" spans="2:41" x14ac:dyDescent="0.25">
      <c r="C30" s="115">
        <v>2000</v>
      </c>
      <c r="D30" s="115"/>
      <c r="E30" s="115"/>
      <c r="F30" s="116"/>
      <c r="G30" s="117"/>
      <c r="H30" s="118"/>
      <c r="I30" s="119">
        <v>0</v>
      </c>
      <c r="J30" s="115"/>
      <c r="K30" s="115"/>
      <c r="L30" s="116"/>
      <c r="M30" s="117"/>
      <c r="N30" s="118"/>
      <c r="O30" s="119"/>
      <c r="P30" s="119"/>
      <c r="Q30" s="119"/>
      <c r="R30" s="119"/>
      <c r="S30" s="119"/>
      <c r="T30" s="119"/>
      <c r="U30" s="119">
        <v>0</v>
      </c>
      <c r="V30" s="119"/>
      <c r="W30" s="119"/>
      <c r="X30" s="120"/>
      <c r="Y30" s="121"/>
      <c r="Z30" s="120"/>
      <c r="AA30" s="119">
        <v>0</v>
      </c>
      <c r="AB30" s="122"/>
      <c r="AC30" s="122"/>
      <c r="AD30" s="123"/>
    </row>
    <row r="31" spans="2:41" x14ac:dyDescent="0.25">
      <c r="C31" s="115">
        <v>1000</v>
      </c>
      <c r="D31" s="115"/>
      <c r="E31" s="115"/>
      <c r="F31" s="116"/>
      <c r="G31" s="117"/>
      <c r="H31" s="118"/>
      <c r="I31" s="124">
        <v>4000</v>
      </c>
      <c r="J31" s="115"/>
      <c r="K31" s="115"/>
      <c r="L31" s="116"/>
      <c r="M31" s="117"/>
      <c r="N31" s="118"/>
      <c r="O31" s="124"/>
      <c r="P31" s="124"/>
      <c r="Q31" s="124"/>
      <c r="R31" s="124"/>
      <c r="S31" s="124"/>
      <c r="T31" s="124"/>
      <c r="U31" s="124">
        <v>1000</v>
      </c>
      <c r="V31" s="124"/>
      <c r="W31" s="124"/>
      <c r="X31" s="120"/>
      <c r="Y31" s="121"/>
      <c r="Z31" s="120"/>
      <c r="AA31" s="124">
        <v>17000</v>
      </c>
      <c r="AB31" s="122"/>
      <c r="AC31" s="122"/>
      <c r="AD31" s="2"/>
    </row>
    <row r="32" spans="2:41" x14ac:dyDescent="0.25">
      <c r="C32" s="115">
        <v>500</v>
      </c>
      <c r="D32" s="115"/>
      <c r="E32" s="115"/>
      <c r="F32" s="116"/>
      <c r="G32" s="117"/>
      <c r="H32" s="118"/>
      <c r="I32" s="119">
        <v>0</v>
      </c>
      <c r="J32" s="115"/>
      <c r="K32" s="115"/>
      <c r="L32" s="116"/>
      <c r="M32" s="117"/>
      <c r="N32" s="118"/>
      <c r="O32" s="119"/>
      <c r="P32" s="119"/>
      <c r="Q32" s="119"/>
      <c r="R32" s="119"/>
      <c r="S32" s="119"/>
      <c r="T32" s="119"/>
      <c r="U32" s="119">
        <v>500</v>
      </c>
      <c r="V32" s="119"/>
      <c r="W32" s="119"/>
      <c r="X32" s="120"/>
      <c r="Y32" s="121"/>
      <c r="Z32" s="120"/>
      <c r="AA32" s="119">
        <v>500</v>
      </c>
      <c r="AB32" s="121"/>
      <c r="AC32" s="121"/>
      <c r="AD32" s="2"/>
    </row>
    <row r="33" spans="2:33" x14ac:dyDescent="0.25">
      <c r="C33" s="115">
        <v>100</v>
      </c>
      <c r="D33" s="115"/>
      <c r="E33" s="115"/>
      <c r="F33" s="116"/>
      <c r="G33" s="117"/>
      <c r="H33" s="118"/>
      <c r="I33" s="119">
        <v>200</v>
      </c>
      <c r="J33" s="115"/>
      <c r="K33" s="115"/>
      <c r="L33" s="116"/>
      <c r="M33" s="117"/>
      <c r="N33" s="118"/>
      <c r="O33" s="119"/>
      <c r="P33" s="119"/>
      <c r="Q33" s="119"/>
      <c r="R33" s="119"/>
      <c r="S33" s="119"/>
      <c r="T33" s="119"/>
      <c r="U33" s="119">
        <v>200</v>
      </c>
      <c r="V33" s="119"/>
      <c r="W33" s="119"/>
      <c r="X33" s="120"/>
      <c r="Y33" s="121"/>
      <c r="Z33" s="120"/>
      <c r="AA33" s="119">
        <v>0</v>
      </c>
      <c r="AB33" s="121"/>
      <c r="AC33" s="121"/>
      <c r="AD33" s="2"/>
    </row>
    <row r="34" spans="2:33" x14ac:dyDescent="0.25">
      <c r="C34" s="115">
        <v>50</v>
      </c>
      <c r="D34" s="115"/>
      <c r="E34" s="115"/>
      <c r="F34" s="116"/>
      <c r="G34" s="117"/>
      <c r="H34" s="118"/>
      <c r="I34" s="119">
        <v>50</v>
      </c>
      <c r="J34" s="115"/>
      <c r="K34" s="115"/>
      <c r="L34" s="116"/>
      <c r="M34" s="117"/>
      <c r="N34" s="118"/>
      <c r="O34" s="119"/>
      <c r="P34" s="119"/>
      <c r="Q34" s="119"/>
      <c r="R34" s="119"/>
      <c r="S34" s="119"/>
      <c r="T34" s="119"/>
      <c r="U34" s="119">
        <v>0</v>
      </c>
      <c r="V34" s="119"/>
      <c r="W34" s="119"/>
      <c r="X34" s="120"/>
      <c r="Y34" s="121"/>
      <c r="Z34" s="120"/>
      <c r="AA34" s="119">
        <v>0</v>
      </c>
      <c r="AB34" s="121"/>
      <c r="AC34" s="121"/>
      <c r="AD34" s="2"/>
    </row>
    <row r="35" spans="2:33" x14ac:dyDescent="0.25">
      <c r="C35" s="115">
        <v>10</v>
      </c>
      <c r="D35" s="115"/>
      <c r="E35" s="115"/>
      <c r="F35" s="116"/>
      <c r="G35" s="117"/>
      <c r="H35" s="118"/>
      <c r="I35" s="119">
        <v>30</v>
      </c>
      <c r="J35" s="115"/>
      <c r="K35" s="115"/>
      <c r="L35" s="116"/>
      <c r="M35" s="117"/>
      <c r="N35" s="118"/>
      <c r="O35" s="119"/>
      <c r="P35" s="119"/>
      <c r="Q35" s="119"/>
      <c r="R35" s="119"/>
      <c r="S35" s="119"/>
      <c r="T35" s="119"/>
      <c r="U35" s="119">
        <v>0</v>
      </c>
      <c r="V35" s="119"/>
      <c r="W35" s="119"/>
      <c r="X35" s="120"/>
      <c r="Y35" s="121"/>
      <c r="Z35" s="120"/>
      <c r="AA35" s="119">
        <v>40</v>
      </c>
      <c r="AB35" s="121"/>
      <c r="AC35" s="121"/>
      <c r="AD35" s="2"/>
      <c r="AG35" s="1" t="s">
        <v>25</v>
      </c>
    </row>
    <row r="36" spans="2:33" x14ac:dyDescent="0.25">
      <c r="C36" s="1" t="s">
        <v>32</v>
      </c>
      <c r="E36" s="131"/>
      <c r="G36" s="125"/>
      <c r="H36" s="118"/>
      <c r="I36" s="124">
        <v>1</v>
      </c>
      <c r="K36" s="131"/>
      <c r="M36" s="125"/>
      <c r="N36" s="118"/>
      <c r="O36" s="124"/>
      <c r="P36" s="124"/>
      <c r="Q36" s="124"/>
      <c r="R36" s="124"/>
      <c r="S36" s="124"/>
      <c r="T36" s="124"/>
      <c r="U36" s="124">
        <f>30000+2</f>
        <v>30002</v>
      </c>
      <c r="V36" s="124"/>
      <c r="W36" s="124"/>
      <c r="X36" s="120"/>
      <c r="Y36" s="124"/>
      <c r="Z36" s="120"/>
      <c r="AA36" s="124">
        <v>104932</v>
      </c>
      <c r="AB36" s="124"/>
      <c r="AC36" s="124"/>
      <c r="AD36" s="2"/>
    </row>
    <row r="37" spans="2:33" s="114" customFormat="1" ht="15.75" x14ac:dyDescent="0.25">
      <c r="F37" s="126"/>
      <c r="G37" s="127"/>
      <c r="I37" s="128">
        <f>SUM(I27:I36)</f>
        <v>199281</v>
      </c>
      <c r="L37" s="126"/>
      <c r="M37" s="127"/>
      <c r="O37" s="128">
        <f>SUM(O27:O36)</f>
        <v>0</v>
      </c>
      <c r="P37" s="116"/>
      <c r="Q37" s="116"/>
      <c r="R37" s="116"/>
      <c r="S37" s="116"/>
      <c r="T37" s="116"/>
      <c r="U37" s="128">
        <f>SUM(U27:U36)</f>
        <v>406702</v>
      </c>
      <c r="V37" s="116"/>
      <c r="W37" s="116"/>
      <c r="X37" s="123"/>
      <c r="Y37" s="116"/>
      <c r="Z37" s="123"/>
      <c r="AA37" s="116">
        <f>SUM(AA27:AA36)</f>
        <v>312472</v>
      </c>
      <c r="AB37" s="129"/>
      <c r="AC37" s="125">
        <f>+I37+U37+AA39+O37</f>
        <v>913083</v>
      </c>
    </row>
    <row r="38" spans="2:33" x14ac:dyDescent="0.25">
      <c r="B38" s="2"/>
      <c r="C38" s="2"/>
      <c r="D38" s="2"/>
      <c r="E38" s="70"/>
      <c r="F38" s="2"/>
      <c r="G38" s="2"/>
      <c r="H38" s="2"/>
      <c r="I38" s="2"/>
      <c r="J38" s="2"/>
      <c r="K38" s="70"/>
      <c r="L38" s="2"/>
      <c r="M38" s="2"/>
      <c r="N38" s="2"/>
      <c r="O38" s="2"/>
      <c r="X38" s="70"/>
      <c r="AA38" s="2">
        <v>-5372</v>
      </c>
      <c r="AB38" s="130"/>
      <c r="AC38" s="131">
        <f>AC37-AC24</f>
        <v>0</v>
      </c>
    </row>
    <row r="39" spans="2:33" x14ac:dyDescent="0.25">
      <c r="B39" s="2"/>
      <c r="C39" s="2"/>
      <c r="D39" s="2"/>
      <c r="E39" s="70"/>
      <c r="F39" s="2"/>
      <c r="G39" s="2"/>
      <c r="H39" s="2"/>
      <c r="I39" s="129"/>
      <c r="J39" s="2"/>
      <c r="K39" s="70"/>
      <c r="L39" s="2"/>
      <c r="M39" s="2"/>
      <c r="N39" s="2"/>
      <c r="O39" s="129"/>
      <c r="U39" s="129"/>
      <c r="X39" s="70"/>
      <c r="AA39" s="308">
        <f>+AA37+AA38</f>
        <v>307100</v>
      </c>
      <c r="AB39" s="130"/>
      <c r="AC39" s="131"/>
    </row>
    <row r="40" spans="2:33" x14ac:dyDescent="0.25">
      <c r="E40" s="110"/>
      <c r="Q40" s="133"/>
      <c r="Y40" s="1"/>
      <c r="Z40" s="1"/>
    </row>
    <row r="41" spans="2:33" x14ac:dyDescent="0.25">
      <c r="S41" s="129"/>
      <c r="T41" s="129"/>
      <c r="U41" s="129"/>
      <c r="W41" s="130"/>
    </row>
  </sheetData>
  <mergeCells count="11">
    <mergeCell ref="B6:B7"/>
    <mergeCell ref="C6:C7"/>
    <mergeCell ref="D6:I6"/>
    <mergeCell ref="J6:O6"/>
    <mergeCell ref="P6:U6"/>
    <mergeCell ref="AB6:AB7"/>
    <mergeCell ref="AC6:AC7"/>
    <mergeCell ref="AE6:AE7"/>
    <mergeCell ref="Q3:T3"/>
    <mergeCell ref="C4:D4"/>
    <mergeCell ref="V6:AA6"/>
  </mergeCells>
  <pageMargins left="0.19685039370078741" right="0.19685039370078741" top="0.19685039370078741" bottom="0.19685039370078741" header="0" footer="0"/>
  <pageSetup paperSize="9" scale="69" orientation="landscape" horizontalDpi="0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1">
    <pageSetUpPr fitToPage="1"/>
  </sheetPr>
  <dimension ref="A1:AO41"/>
  <sheetViews>
    <sheetView workbookViewId="0">
      <pane xSplit="3" topLeftCell="D1" activePane="topRight" state="frozen"/>
      <selection activeCell="G14" sqref="G14"/>
      <selection pane="topRight" activeCell="S39" sqref="S39"/>
    </sheetView>
  </sheetViews>
  <sheetFormatPr baseColWidth="10" defaultRowHeight="15" x14ac:dyDescent="0.25"/>
  <cols>
    <col min="1" max="1" width="1.7109375" style="1" customWidth="1"/>
    <col min="2" max="2" width="10" style="1" customWidth="1"/>
    <col min="3" max="3" width="29.140625" style="1" customWidth="1"/>
    <col min="4" max="4" width="5.7109375" style="1" customWidth="1"/>
    <col min="5" max="5" width="10.7109375" style="1" customWidth="1"/>
    <col min="6" max="6" width="5.7109375" style="1" customWidth="1"/>
    <col min="7" max="7" width="10.7109375" style="1" customWidth="1"/>
    <col min="8" max="8" width="5.7109375" style="1" customWidth="1"/>
    <col min="9" max="9" width="10.7109375" style="1" customWidth="1"/>
    <col min="10" max="10" width="5.7109375" style="1" hidden="1" customWidth="1"/>
    <col min="11" max="11" width="10.7109375" style="1" hidden="1" customWidth="1"/>
    <col min="12" max="12" width="5.7109375" style="1" hidden="1" customWidth="1"/>
    <col min="13" max="13" width="10.7109375" style="1" hidden="1" customWidth="1"/>
    <col min="14" max="14" width="5.7109375" style="1" hidden="1" customWidth="1"/>
    <col min="15" max="15" width="10.7109375" style="1" hidden="1" customWidth="1"/>
    <col min="16" max="16" width="5.7109375" style="2" customWidth="1"/>
    <col min="17" max="17" width="10.7109375" style="2" customWidth="1"/>
    <col min="18" max="18" width="5.7109375" style="2" customWidth="1"/>
    <col min="19" max="19" width="10.7109375" style="2" customWidth="1"/>
    <col min="20" max="20" width="5.7109375" style="2" customWidth="1"/>
    <col min="21" max="21" width="10.7109375" style="2" customWidth="1"/>
    <col min="22" max="22" width="5.7109375" style="2" customWidth="1"/>
    <col min="23" max="23" width="10.7109375" style="2" customWidth="1"/>
    <col min="24" max="24" width="5.7109375" style="2" customWidth="1"/>
    <col min="25" max="25" width="10.7109375" style="2" customWidth="1"/>
    <col min="26" max="26" width="5.7109375" style="2" customWidth="1"/>
    <col min="27" max="27" width="10.7109375" style="1" customWidth="1"/>
    <col min="28" max="28" width="9.5703125" style="1" customWidth="1"/>
    <col min="29" max="29" width="14.5703125" style="1" bestFit="1" customWidth="1"/>
    <col min="30" max="30" width="3.28515625" style="1" customWidth="1"/>
    <col min="31" max="31" width="11.42578125" style="1"/>
    <col min="32" max="32" width="3.7109375" style="1" customWidth="1"/>
    <col min="33" max="33" width="10.140625" style="1" customWidth="1"/>
    <col min="34" max="34" width="3.7109375" style="1" customWidth="1"/>
    <col min="35" max="35" width="11.42578125" style="1"/>
    <col min="36" max="36" width="3.7109375" style="1" customWidth="1"/>
    <col min="37" max="37" width="5.7109375" style="1" customWidth="1"/>
    <col min="38" max="38" width="3.7109375" style="1" customWidth="1"/>
    <col min="39" max="39" width="5.7109375" style="1" customWidth="1"/>
    <col min="40" max="40" width="3.7109375" style="1" customWidth="1"/>
    <col min="41" max="41" width="5.7109375" style="1" customWidth="1"/>
    <col min="42" max="16384" width="11.42578125" style="1"/>
  </cols>
  <sheetData>
    <row r="1" spans="1:39" ht="5.25" customHeight="1" x14ac:dyDescent="0.25">
      <c r="Y1" s="1"/>
      <c r="Z1" s="1"/>
    </row>
    <row r="2" spans="1:39" ht="21" x14ac:dyDescent="0.35">
      <c r="B2" s="3" t="s">
        <v>0</v>
      </c>
      <c r="P2" s="1"/>
      <c r="Q2" s="4"/>
      <c r="Z2" s="1"/>
    </row>
    <row r="3" spans="1:39" ht="15" customHeight="1" x14ac:dyDescent="0.25">
      <c r="A3" s="5"/>
      <c r="B3" s="6" t="s">
        <v>1</v>
      </c>
      <c r="C3" s="7"/>
      <c r="D3" s="7"/>
      <c r="E3" s="7"/>
      <c r="F3" s="7"/>
      <c r="P3" s="1"/>
      <c r="Q3" s="353"/>
      <c r="R3" s="353"/>
      <c r="S3" s="353"/>
      <c r="T3" s="353"/>
      <c r="U3" s="262"/>
      <c r="V3" s="262"/>
      <c r="Z3" s="1"/>
    </row>
    <row r="4" spans="1:39" ht="18" customHeight="1" x14ac:dyDescent="0.25">
      <c r="B4" s="263" t="s">
        <v>2</v>
      </c>
      <c r="C4" s="354" t="s">
        <v>58</v>
      </c>
      <c r="D4" s="355"/>
      <c r="E4" s="263"/>
      <c r="F4" s="263"/>
      <c r="P4" s="1"/>
      <c r="Q4" s="9"/>
      <c r="R4" s="10"/>
      <c r="S4" s="9"/>
      <c r="T4" s="9"/>
      <c r="U4" s="9"/>
      <c r="V4" s="9"/>
      <c r="Z4" s="1"/>
    </row>
    <row r="5" spans="1:39" ht="15.75" thickBot="1" x14ac:dyDescent="0.3">
      <c r="A5" s="263"/>
      <c r="B5" s="263"/>
      <c r="C5" s="263"/>
      <c r="D5" s="263"/>
      <c r="E5" s="263"/>
      <c r="J5" s="263"/>
      <c r="K5" s="263"/>
      <c r="P5" s="1"/>
      <c r="Q5" s="1"/>
      <c r="R5" s="1"/>
      <c r="S5" s="1"/>
      <c r="T5" s="1"/>
      <c r="U5" s="1"/>
      <c r="V5" s="9"/>
      <c r="W5" s="9"/>
      <c r="X5" s="9"/>
      <c r="Y5" s="9"/>
      <c r="Z5" s="9"/>
      <c r="AA5" s="9"/>
      <c r="AB5" s="2"/>
      <c r="AC5" s="2"/>
      <c r="AD5" s="2"/>
    </row>
    <row r="6" spans="1:39" ht="27.75" customHeight="1" thickBot="1" x14ac:dyDescent="0.3">
      <c r="B6" s="356" t="s">
        <v>3</v>
      </c>
      <c r="C6" s="343" t="s">
        <v>4</v>
      </c>
      <c r="D6" s="358" t="s">
        <v>36</v>
      </c>
      <c r="E6" s="359"/>
      <c r="F6" s="360"/>
      <c r="G6" s="360"/>
      <c r="H6" s="360"/>
      <c r="I6" s="361"/>
      <c r="J6" s="370" t="s">
        <v>37</v>
      </c>
      <c r="K6" s="371"/>
      <c r="L6" s="372"/>
      <c r="M6" s="372"/>
      <c r="N6" s="372"/>
      <c r="O6" s="373"/>
      <c r="P6" s="362" t="s">
        <v>42</v>
      </c>
      <c r="Q6" s="363"/>
      <c r="R6" s="364"/>
      <c r="S6" s="364"/>
      <c r="T6" s="364"/>
      <c r="U6" s="365"/>
      <c r="V6" s="366" t="s">
        <v>55</v>
      </c>
      <c r="W6" s="367"/>
      <c r="X6" s="368"/>
      <c r="Y6" s="368"/>
      <c r="Z6" s="368"/>
      <c r="AA6" s="369"/>
      <c r="AB6" s="349" t="s">
        <v>5</v>
      </c>
      <c r="AC6" s="349" t="s">
        <v>6</v>
      </c>
      <c r="AD6" s="2"/>
      <c r="AE6" s="351" t="s">
        <v>7</v>
      </c>
      <c r="AF6" s="2"/>
    </row>
    <row r="7" spans="1:39" ht="25.5" customHeight="1" thickBot="1" x14ac:dyDescent="0.3">
      <c r="B7" s="357"/>
      <c r="C7" s="344"/>
      <c r="D7" s="11" t="s">
        <v>8</v>
      </c>
      <c r="E7" s="14" t="s">
        <v>9</v>
      </c>
      <c r="F7" s="13" t="s">
        <v>8</v>
      </c>
      <c r="G7" s="14" t="s">
        <v>9</v>
      </c>
      <c r="H7" s="11" t="s">
        <v>5</v>
      </c>
      <c r="I7" s="14" t="s">
        <v>10</v>
      </c>
      <c r="J7" s="190" t="s">
        <v>8</v>
      </c>
      <c r="K7" s="192" t="s">
        <v>9</v>
      </c>
      <c r="L7" s="191" t="s">
        <v>8</v>
      </c>
      <c r="M7" s="192" t="s">
        <v>9</v>
      </c>
      <c r="N7" s="190" t="s">
        <v>5</v>
      </c>
      <c r="O7" s="192" t="s">
        <v>10</v>
      </c>
      <c r="P7" s="15" t="s">
        <v>8</v>
      </c>
      <c r="Q7" s="16" t="s">
        <v>9</v>
      </c>
      <c r="R7" s="17" t="s">
        <v>8</v>
      </c>
      <c r="S7" s="16" t="s">
        <v>9</v>
      </c>
      <c r="T7" s="15" t="s">
        <v>5</v>
      </c>
      <c r="U7" s="16" t="s">
        <v>10</v>
      </c>
      <c r="V7" s="18" t="s">
        <v>8</v>
      </c>
      <c r="W7" s="19" t="s">
        <v>9</v>
      </c>
      <c r="X7" s="20" t="s">
        <v>8</v>
      </c>
      <c r="Y7" s="21" t="s">
        <v>9</v>
      </c>
      <c r="Z7" s="18" t="s">
        <v>5</v>
      </c>
      <c r="AA7" s="21" t="s">
        <v>10</v>
      </c>
      <c r="AB7" s="350"/>
      <c r="AC7" s="350"/>
      <c r="AD7" s="2"/>
      <c r="AE7" s="352"/>
      <c r="AG7" s="22" t="s">
        <v>11</v>
      </c>
      <c r="AI7" s="22" t="s">
        <v>12</v>
      </c>
    </row>
    <row r="8" spans="1:39" x14ac:dyDescent="0.25">
      <c r="B8" s="173">
        <v>6320</v>
      </c>
      <c r="C8" s="157" t="s">
        <v>13</v>
      </c>
      <c r="D8" s="24"/>
      <c r="E8" s="25">
        <f>+D8*B8</f>
        <v>0</v>
      </c>
      <c r="F8" s="26">
        <v>8</v>
      </c>
      <c r="G8" s="27">
        <f>6320*7+2528</f>
        <v>46768</v>
      </c>
      <c r="H8" s="28">
        <f>D8+F8</f>
        <v>8</v>
      </c>
      <c r="I8" s="238">
        <f>E8+G8</f>
        <v>46768</v>
      </c>
      <c r="J8" s="199"/>
      <c r="K8" s="202">
        <f>+J8*B8</f>
        <v>0</v>
      </c>
      <c r="L8" s="222"/>
      <c r="M8" s="202"/>
      <c r="N8" s="193">
        <f>J8+L8</f>
        <v>0</v>
      </c>
      <c r="O8" s="194">
        <f>K8+M8</f>
        <v>0</v>
      </c>
      <c r="P8" s="30"/>
      <c r="Q8" s="31">
        <f>+P8*B8</f>
        <v>0</v>
      </c>
      <c r="R8" s="32">
        <v>3</v>
      </c>
      <c r="S8" s="33">
        <f>6320*3</f>
        <v>18960</v>
      </c>
      <c r="T8" s="34">
        <f>P8+R8</f>
        <v>3</v>
      </c>
      <c r="U8" s="35">
        <f>Q8+S8</f>
        <v>18960</v>
      </c>
      <c r="V8" s="36"/>
      <c r="W8" s="37">
        <f t="shared" ref="W8:W19" si="0">+V8*B8</f>
        <v>0</v>
      </c>
      <c r="X8" s="38">
        <v>16</v>
      </c>
      <c r="Y8" s="39">
        <f>6320*15+2844</f>
        <v>97644</v>
      </c>
      <c r="Z8" s="40">
        <f>V8+X8</f>
        <v>16</v>
      </c>
      <c r="AA8" s="41">
        <f>Y8+W8</f>
        <v>97644</v>
      </c>
      <c r="AB8" s="152">
        <f t="shared" ref="AB8:AB22" si="1">+D8+F8+P8+R8+V8+X8</f>
        <v>27</v>
      </c>
      <c r="AC8" s="220">
        <f>+E8+G8+Q8+S8+W8+Y8+K8+M8</f>
        <v>163372</v>
      </c>
      <c r="AD8" s="44"/>
      <c r="AE8" s="156">
        <f>3476+3792</f>
        <v>7268</v>
      </c>
      <c r="AG8" s="187">
        <f>E8+W8+Q8+K8</f>
        <v>0</v>
      </c>
      <c r="AI8" s="156">
        <f>G8+Y8+S8+M8</f>
        <v>163372</v>
      </c>
      <c r="AK8" s="139">
        <f>F8+R8+X8+L8</f>
        <v>27</v>
      </c>
      <c r="AM8" s="139">
        <f>+D8+P8+V8+J8</f>
        <v>0</v>
      </c>
    </row>
    <row r="9" spans="1:39" x14ac:dyDescent="0.25">
      <c r="B9" s="174">
        <v>6320</v>
      </c>
      <c r="C9" s="46" t="s">
        <v>14</v>
      </c>
      <c r="D9" s="47"/>
      <c r="E9" s="48">
        <f t="shared" ref="E9:E19" si="2">+D9*B9</f>
        <v>0</v>
      </c>
      <c r="F9" s="49"/>
      <c r="G9" s="50"/>
      <c r="H9" s="51">
        <f>D9+F9</f>
        <v>0</v>
      </c>
      <c r="I9" s="177">
        <f>G9+E9</f>
        <v>0</v>
      </c>
      <c r="J9" s="207"/>
      <c r="K9" s="241">
        <f t="shared" ref="K9:K19" si="3">+J9*B9</f>
        <v>0</v>
      </c>
      <c r="L9" s="223"/>
      <c r="M9" s="206"/>
      <c r="N9" s="195">
        <f>J9+L9</f>
        <v>0</v>
      </c>
      <c r="O9" s="196">
        <f>M9+K9</f>
        <v>0</v>
      </c>
      <c r="P9" s="53"/>
      <c r="Q9" s="54">
        <f t="shared" ref="Q9:Q19" si="4">+P9*B9</f>
        <v>0</v>
      </c>
      <c r="R9" s="55"/>
      <c r="S9" s="56"/>
      <c r="T9" s="57">
        <f>P9+R9</f>
        <v>0</v>
      </c>
      <c r="U9" s="58">
        <f>S9+Q9</f>
        <v>0</v>
      </c>
      <c r="V9" s="59"/>
      <c r="W9" s="60">
        <f t="shared" si="0"/>
        <v>0</v>
      </c>
      <c r="X9" s="61"/>
      <c r="Y9" s="62"/>
      <c r="Z9" s="63">
        <f>V9+X9</f>
        <v>0</v>
      </c>
      <c r="AA9" s="41">
        <f>Y9+W9</f>
        <v>0</v>
      </c>
      <c r="AB9" s="42">
        <f t="shared" si="1"/>
        <v>0</v>
      </c>
      <c r="AC9" s="188">
        <f t="shared" ref="AC9:AC22" si="5">+E9+G9+Q9+S9+W9+Y9+K9+M9</f>
        <v>0</v>
      </c>
      <c r="AD9" s="44"/>
      <c r="AE9" s="64"/>
      <c r="AG9" s="218">
        <f t="shared" ref="AG9:AG22" si="6">E9+W9+Q9+K9</f>
        <v>0</v>
      </c>
      <c r="AI9" s="64">
        <f t="shared" ref="AI9:AI22" si="7">G9+Y9+S9+M9</f>
        <v>0</v>
      </c>
      <c r="AK9" s="142">
        <f t="shared" ref="AK9:AK22" si="8">F9+R9+X9+L9</f>
        <v>0</v>
      </c>
      <c r="AM9" s="142">
        <f t="shared" ref="AM9:AM22" si="9">+D9+P9+V9+J9</f>
        <v>0</v>
      </c>
    </row>
    <row r="10" spans="1:39" x14ac:dyDescent="0.25">
      <c r="B10" s="174">
        <v>6320</v>
      </c>
      <c r="C10" s="46" t="s">
        <v>16</v>
      </c>
      <c r="D10" s="47"/>
      <c r="E10" s="48">
        <f t="shared" si="2"/>
        <v>0</v>
      </c>
      <c r="F10" s="49"/>
      <c r="G10" s="50"/>
      <c r="H10" s="51">
        <f t="shared" ref="H10:H22" si="10">D10+F10</f>
        <v>0</v>
      </c>
      <c r="I10" s="177">
        <f t="shared" ref="I10:I22" si="11">G10+E10</f>
        <v>0</v>
      </c>
      <c r="J10" s="207"/>
      <c r="K10" s="241">
        <f t="shared" si="3"/>
        <v>0</v>
      </c>
      <c r="L10" s="223"/>
      <c r="M10" s="206"/>
      <c r="N10" s="195">
        <f t="shared" ref="N10:N22" si="12">J10+L10</f>
        <v>0</v>
      </c>
      <c r="O10" s="196">
        <f t="shared" ref="O10:O22" si="13">M10+K10</f>
        <v>0</v>
      </c>
      <c r="P10" s="53"/>
      <c r="Q10" s="54">
        <f t="shared" si="4"/>
        <v>0</v>
      </c>
      <c r="R10" s="55"/>
      <c r="S10" s="56"/>
      <c r="T10" s="57">
        <f t="shared" ref="T10:T22" si="14">P10+R10</f>
        <v>0</v>
      </c>
      <c r="U10" s="58">
        <f t="shared" ref="U10:U22" si="15">S10+Q10</f>
        <v>0</v>
      </c>
      <c r="V10" s="59"/>
      <c r="W10" s="60">
        <f t="shared" si="0"/>
        <v>0</v>
      </c>
      <c r="X10" s="61"/>
      <c r="Y10" s="62"/>
      <c r="Z10" s="63">
        <f t="shared" ref="Z10:Z22" si="16">V10+X10</f>
        <v>0</v>
      </c>
      <c r="AA10" s="41">
        <f t="shared" ref="AA10:AA22" si="17">Y10+W10</f>
        <v>0</v>
      </c>
      <c r="AB10" s="42">
        <f t="shared" si="1"/>
        <v>0</v>
      </c>
      <c r="AC10" s="188">
        <f t="shared" si="5"/>
        <v>0</v>
      </c>
      <c r="AD10" s="44"/>
      <c r="AE10" s="64"/>
      <c r="AG10" s="218">
        <f t="shared" si="6"/>
        <v>0</v>
      </c>
      <c r="AI10" s="64">
        <f t="shared" si="7"/>
        <v>0</v>
      </c>
      <c r="AK10" s="142">
        <f t="shared" si="8"/>
        <v>0</v>
      </c>
      <c r="AM10" s="142">
        <f t="shared" si="9"/>
        <v>0</v>
      </c>
    </row>
    <row r="11" spans="1:39" x14ac:dyDescent="0.25">
      <c r="B11" s="174">
        <v>6320</v>
      </c>
      <c r="C11" s="153" t="s">
        <v>17</v>
      </c>
      <c r="D11" s="65"/>
      <c r="E11" s="48">
        <f t="shared" si="2"/>
        <v>0</v>
      </c>
      <c r="F11" s="49">
        <v>3</v>
      </c>
      <c r="G11" s="50">
        <f>6320*3</f>
        <v>18960</v>
      </c>
      <c r="H11" s="51">
        <f t="shared" si="10"/>
        <v>3</v>
      </c>
      <c r="I11" s="177">
        <f t="shared" si="11"/>
        <v>18960</v>
      </c>
      <c r="J11" s="207"/>
      <c r="K11" s="241">
        <f t="shared" si="3"/>
        <v>0</v>
      </c>
      <c r="L11" s="223"/>
      <c r="M11" s="206"/>
      <c r="N11" s="195">
        <f t="shared" si="12"/>
        <v>0</v>
      </c>
      <c r="O11" s="196">
        <f t="shared" si="13"/>
        <v>0</v>
      </c>
      <c r="P11" s="66"/>
      <c r="Q11" s="54">
        <f t="shared" si="4"/>
        <v>0</v>
      </c>
      <c r="R11" s="67">
        <v>6</v>
      </c>
      <c r="S11" s="56">
        <f>6320*6</f>
        <v>37920</v>
      </c>
      <c r="T11" s="57">
        <f t="shared" si="14"/>
        <v>6</v>
      </c>
      <c r="U11" s="58">
        <f t="shared" si="15"/>
        <v>37920</v>
      </c>
      <c r="V11" s="68"/>
      <c r="W11" s="60">
        <f t="shared" si="0"/>
        <v>0</v>
      </c>
      <c r="X11" s="69">
        <v>9</v>
      </c>
      <c r="Y11" s="62">
        <f>6320*8+1264</f>
        <v>51824</v>
      </c>
      <c r="Z11" s="63">
        <f t="shared" si="16"/>
        <v>9</v>
      </c>
      <c r="AA11" s="41">
        <f t="shared" si="17"/>
        <v>51824</v>
      </c>
      <c r="AB11" s="152">
        <f t="shared" si="1"/>
        <v>18</v>
      </c>
      <c r="AC11" s="220">
        <f t="shared" si="5"/>
        <v>108704</v>
      </c>
      <c r="AD11" s="70"/>
      <c r="AE11" s="151">
        <v>5056</v>
      </c>
      <c r="AG11" s="218">
        <f t="shared" si="6"/>
        <v>0</v>
      </c>
      <c r="AI11" s="151">
        <f t="shared" si="7"/>
        <v>108704</v>
      </c>
      <c r="AK11" s="142">
        <f t="shared" si="8"/>
        <v>18</v>
      </c>
      <c r="AM11" s="142">
        <f t="shared" si="9"/>
        <v>0</v>
      </c>
    </row>
    <row r="12" spans="1:39" x14ac:dyDescent="0.25">
      <c r="B12" s="174">
        <v>6320</v>
      </c>
      <c r="C12" s="153" t="s">
        <v>18</v>
      </c>
      <c r="D12" s="65"/>
      <c r="E12" s="48">
        <f t="shared" si="2"/>
        <v>0</v>
      </c>
      <c r="F12" s="49"/>
      <c r="G12" s="50"/>
      <c r="H12" s="51">
        <f t="shared" si="10"/>
        <v>0</v>
      </c>
      <c r="I12" s="177">
        <f t="shared" si="11"/>
        <v>0</v>
      </c>
      <c r="J12" s="207"/>
      <c r="K12" s="241">
        <f t="shared" si="3"/>
        <v>0</v>
      </c>
      <c r="L12" s="223"/>
      <c r="M12" s="206"/>
      <c r="N12" s="195">
        <f t="shared" si="12"/>
        <v>0</v>
      </c>
      <c r="O12" s="196">
        <f t="shared" si="13"/>
        <v>0</v>
      </c>
      <c r="P12" s="66"/>
      <c r="Q12" s="54">
        <f t="shared" si="4"/>
        <v>0</v>
      </c>
      <c r="R12" s="67">
        <v>2</v>
      </c>
      <c r="S12" s="56">
        <f>1896+6320</f>
        <v>8216</v>
      </c>
      <c r="T12" s="57">
        <f t="shared" si="14"/>
        <v>2</v>
      </c>
      <c r="U12" s="58">
        <f t="shared" si="15"/>
        <v>8216</v>
      </c>
      <c r="V12" s="68"/>
      <c r="W12" s="60">
        <f t="shared" si="0"/>
        <v>0</v>
      </c>
      <c r="X12" s="69">
        <v>4</v>
      </c>
      <c r="Y12" s="62">
        <f>6320*4</f>
        <v>25280</v>
      </c>
      <c r="Z12" s="63">
        <f t="shared" si="16"/>
        <v>4</v>
      </c>
      <c r="AA12" s="41">
        <f t="shared" si="17"/>
        <v>25280</v>
      </c>
      <c r="AB12" s="152">
        <f t="shared" si="1"/>
        <v>6</v>
      </c>
      <c r="AC12" s="220">
        <f t="shared" si="5"/>
        <v>33496</v>
      </c>
      <c r="AD12" s="71"/>
      <c r="AE12" s="151">
        <v>4424</v>
      </c>
      <c r="AG12" s="218">
        <f t="shared" si="6"/>
        <v>0</v>
      </c>
      <c r="AI12" s="151">
        <f t="shared" si="7"/>
        <v>33496</v>
      </c>
      <c r="AK12" s="142">
        <f t="shared" si="8"/>
        <v>6</v>
      </c>
      <c r="AM12" s="142">
        <f t="shared" si="9"/>
        <v>0</v>
      </c>
    </row>
    <row r="13" spans="1:39" x14ac:dyDescent="0.25">
      <c r="B13" s="174">
        <v>6320</v>
      </c>
      <c r="C13" s="46" t="s">
        <v>19</v>
      </c>
      <c r="D13" s="65"/>
      <c r="E13" s="48">
        <f t="shared" si="2"/>
        <v>0</v>
      </c>
      <c r="F13" s="49"/>
      <c r="G13" s="50"/>
      <c r="H13" s="51">
        <f t="shared" si="10"/>
        <v>0</v>
      </c>
      <c r="I13" s="177">
        <f t="shared" si="11"/>
        <v>0</v>
      </c>
      <c r="J13" s="207"/>
      <c r="K13" s="241">
        <f t="shared" si="3"/>
        <v>0</v>
      </c>
      <c r="L13" s="223"/>
      <c r="M13" s="206"/>
      <c r="N13" s="195">
        <f t="shared" si="12"/>
        <v>0</v>
      </c>
      <c r="O13" s="196">
        <f t="shared" si="13"/>
        <v>0</v>
      </c>
      <c r="P13" s="66"/>
      <c r="Q13" s="54">
        <f t="shared" si="4"/>
        <v>0</v>
      </c>
      <c r="R13" s="67"/>
      <c r="S13" s="56"/>
      <c r="T13" s="57">
        <f t="shared" si="14"/>
        <v>0</v>
      </c>
      <c r="U13" s="58">
        <f t="shared" si="15"/>
        <v>0</v>
      </c>
      <c r="V13" s="68"/>
      <c r="W13" s="60">
        <f t="shared" si="0"/>
        <v>0</v>
      </c>
      <c r="X13" s="69"/>
      <c r="Y13" s="62"/>
      <c r="Z13" s="63">
        <f t="shared" si="16"/>
        <v>0</v>
      </c>
      <c r="AA13" s="41">
        <f t="shared" si="17"/>
        <v>0</v>
      </c>
      <c r="AB13" s="42">
        <f t="shared" si="1"/>
        <v>0</v>
      </c>
      <c r="AC13" s="188">
        <f t="shared" si="5"/>
        <v>0</v>
      </c>
      <c r="AD13" s="70"/>
      <c r="AE13" s="64"/>
      <c r="AG13" s="218">
        <f t="shared" si="6"/>
        <v>0</v>
      </c>
      <c r="AI13" s="64">
        <f t="shared" si="7"/>
        <v>0</v>
      </c>
      <c r="AK13" s="142">
        <f t="shared" si="8"/>
        <v>0</v>
      </c>
      <c r="AM13" s="142">
        <f t="shared" si="9"/>
        <v>0</v>
      </c>
    </row>
    <row r="14" spans="1:39" x14ac:dyDescent="0.25">
      <c r="B14" s="174">
        <v>6320</v>
      </c>
      <c r="C14" s="153" t="s">
        <v>20</v>
      </c>
      <c r="D14" s="65"/>
      <c r="E14" s="48">
        <f t="shared" si="2"/>
        <v>0</v>
      </c>
      <c r="F14" s="49"/>
      <c r="G14" s="50"/>
      <c r="H14" s="51">
        <f t="shared" si="10"/>
        <v>0</v>
      </c>
      <c r="I14" s="177">
        <f t="shared" si="11"/>
        <v>0</v>
      </c>
      <c r="J14" s="207"/>
      <c r="K14" s="241">
        <f t="shared" si="3"/>
        <v>0</v>
      </c>
      <c r="L14" s="223"/>
      <c r="M14" s="206"/>
      <c r="N14" s="195">
        <f t="shared" si="12"/>
        <v>0</v>
      </c>
      <c r="O14" s="196">
        <f t="shared" si="13"/>
        <v>0</v>
      </c>
      <c r="P14" s="66"/>
      <c r="Q14" s="54">
        <f t="shared" si="4"/>
        <v>0</v>
      </c>
      <c r="R14" s="67">
        <v>4</v>
      </c>
      <c r="S14" s="56">
        <f>6320*4</f>
        <v>25280</v>
      </c>
      <c r="T14" s="57">
        <f t="shared" si="14"/>
        <v>4</v>
      </c>
      <c r="U14" s="58">
        <f t="shared" si="15"/>
        <v>25280</v>
      </c>
      <c r="V14" s="68"/>
      <c r="W14" s="60">
        <f t="shared" si="0"/>
        <v>0</v>
      </c>
      <c r="X14" s="69"/>
      <c r="Y14" s="62"/>
      <c r="Z14" s="63">
        <f t="shared" si="16"/>
        <v>0</v>
      </c>
      <c r="AA14" s="41">
        <f t="shared" si="17"/>
        <v>0</v>
      </c>
      <c r="AB14" s="152">
        <f t="shared" si="1"/>
        <v>4</v>
      </c>
      <c r="AC14" s="220">
        <f t="shared" si="5"/>
        <v>25280</v>
      </c>
      <c r="AD14" s="70"/>
      <c r="AE14" s="64"/>
      <c r="AG14" s="218">
        <f t="shared" si="6"/>
        <v>0</v>
      </c>
      <c r="AI14" s="151">
        <f t="shared" si="7"/>
        <v>25280</v>
      </c>
      <c r="AK14" s="142">
        <f t="shared" si="8"/>
        <v>4</v>
      </c>
      <c r="AM14" s="142">
        <f t="shared" si="9"/>
        <v>0</v>
      </c>
    </row>
    <row r="15" spans="1:39" x14ac:dyDescent="0.25">
      <c r="B15" s="174">
        <v>6320</v>
      </c>
      <c r="C15" s="46" t="s">
        <v>21</v>
      </c>
      <c r="D15" s="65"/>
      <c r="E15" s="48">
        <f t="shared" si="2"/>
        <v>0</v>
      </c>
      <c r="F15" s="49"/>
      <c r="G15" s="50"/>
      <c r="H15" s="51">
        <f t="shared" si="10"/>
        <v>0</v>
      </c>
      <c r="I15" s="177">
        <f t="shared" si="11"/>
        <v>0</v>
      </c>
      <c r="J15" s="207"/>
      <c r="K15" s="241">
        <f t="shared" si="3"/>
        <v>0</v>
      </c>
      <c r="L15" s="223"/>
      <c r="M15" s="206"/>
      <c r="N15" s="195">
        <f t="shared" si="12"/>
        <v>0</v>
      </c>
      <c r="O15" s="196">
        <f t="shared" si="13"/>
        <v>0</v>
      </c>
      <c r="P15" s="66"/>
      <c r="Q15" s="54">
        <f t="shared" si="4"/>
        <v>0</v>
      </c>
      <c r="R15" s="67"/>
      <c r="S15" s="56"/>
      <c r="T15" s="57">
        <f t="shared" si="14"/>
        <v>0</v>
      </c>
      <c r="U15" s="58">
        <f t="shared" si="15"/>
        <v>0</v>
      </c>
      <c r="V15" s="68"/>
      <c r="W15" s="60">
        <f t="shared" si="0"/>
        <v>0</v>
      </c>
      <c r="X15" s="69"/>
      <c r="Y15" s="62"/>
      <c r="Z15" s="63">
        <f t="shared" si="16"/>
        <v>0</v>
      </c>
      <c r="AA15" s="41">
        <f t="shared" si="17"/>
        <v>0</v>
      </c>
      <c r="AB15" s="42">
        <f t="shared" si="1"/>
        <v>0</v>
      </c>
      <c r="AC15" s="188">
        <f t="shared" si="5"/>
        <v>0</v>
      </c>
      <c r="AD15" s="70"/>
      <c r="AE15" s="64"/>
      <c r="AG15" s="218">
        <f t="shared" si="6"/>
        <v>0</v>
      </c>
      <c r="AI15" s="64">
        <f t="shared" si="7"/>
        <v>0</v>
      </c>
      <c r="AK15" s="142">
        <f t="shared" si="8"/>
        <v>0</v>
      </c>
      <c r="AM15" s="142">
        <f t="shared" si="9"/>
        <v>0</v>
      </c>
    </row>
    <row r="16" spans="1:39" x14ac:dyDescent="0.25">
      <c r="B16" s="174" t="s">
        <v>26</v>
      </c>
      <c r="C16" s="46" t="s">
        <v>33</v>
      </c>
      <c r="D16" s="65"/>
      <c r="E16" s="48">
        <v>0</v>
      </c>
      <c r="F16" s="49"/>
      <c r="G16" s="50"/>
      <c r="H16" s="51">
        <f t="shared" si="10"/>
        <v>0</v>
      </c>
      <c r="I16" s="177">
        <f t="shared" si="11"/>
        <v>0</v>
      </c>
      <c r="J16" s="207"/>
      <c r="K16" s="241">
        <v>0</v>
      </c>
      <c r="L16" s="223"/>
      <c r="M16" s="206"/>
      <c r="N16" s="195">
        <f t="shared" si="12"/>
        <v>0</v>
      </c>
      <c r="O16" s="196">
        <f t="shared" si="13"/>
        <v>0</v>
      </c>
      <c r="P16" s="66"/>
      <c r="Q16" s="54">
        <v>0</v>
      </c>
      <c r="R16" s="67"/>
      <c r="S16" s="56"/>
      <c r="T16" s="57">
        <f t="shared" si="14"/>
        <v>0</v>
      </c>
      <c r="U16" s="58">
        <v>0</v>
      </c>
      <c r="V16" s="68"/>
      <c r="W16" s="60">
        <v>0</v>
      </c>
      <c r="X16" s="69"/>
      <c r="Y16" s="62"/>
      <c r="Z16" s="63">
        <f>+X16+V16</f>
        <v>0</v>
      </c>
      <c r="AA16" s="41">
        <f>+Y16+W16</f>
        <v>0</v>
      </c>
      <c r="AB16" s="42">
        <f t="shared" si="1"/>
        <v>0</v>
      </c>
      <c r="AC16" s="188">
        <f t="shared" si="5"/>
        <v>0</v>
      </c>
      <c r="AD16" s="70"/>
      <c r="AE16" s="64"/>
      <c r="AG16" s="218">
        <f t="shared" si="6"/>
        <v>0</v>
      </c>
      <c r="AI16" s="64">
        <f t="shared" si="7"/>
        <v>0</v>
      </c>
      <c r="AK16" s="142">
        <f t="shared" si="8"/>
        <v>0</v>
      </c>
      <c r="AM16" s="142">
        <f t="shared" si="9"/>
        <v>0</v>
      </c>
    </row>
    <row r="17" spans="2:41" x14ac:dyDescent="0.25">
      <c r="B17" s="175">
        <v>14010</v>
      </c>
      <c r="C17" s="46" t="s">
        <v>23</v>
      </c>
      <c r="D17" s="65"/>
      <c r="E17" s="48">
        <f t="shared" si="2"/>
        <v>0</v>
      </c>
      <c r="F17" s="49"/>
      <c r="G17" s="50"/>
      <c r="H17" s="51">
        <f t="shared" si="10"/>
        <v>0</v>
      </c>
      <c r="I17" s="177">
        <f t="shared" si="11"/>
        <v>0</v>
      </c>
      <c r="J17" s="207"/>
      <c r="K17" s="241">
        <f t="shared" si="3"/>
        <v>0</v>
      </c>
      <c r="L17" s="223"/>
      <c r="M17" s="206"/>
      <c r="N17" s="195">
        <f t="shared" si="12"/>
        <v>0</v>
      </c>
      <c r="O17" s="196">
        <f t="shared" si="13"/>
        <v>0</v>
      </c>
      <c r="P17" s="66"/>
      <c r="Q17" s="54">
        <f t="shared" si="4"/>
        <v>0</v>
      </c>
      <c r="R17" s="67"/>
      <c r="S17" s="56"/>
      <c r="T17" s="57">
        <f t="shared" si="14"/>
        <v>0</v>
      </c>
      <c r="U17" s="58">
        <f t="shared" si="15"/>
        <v>0</v>
      </c>
      <c r="V17" s="68"/>
      <c r="W17" s="60">
        <f t="shared" si="0"/>
        <v>0</v>
      </c>
      <c r="X17" s="69"/>
      <c r="Y17" s="62"/>
      <c r="Z17" s="63">
        <f t="shared" si="16"/>
        <v>0</v>
      </c>
      <c r="AA17" s="41">
        <f t="shared" si="17"/>
        <v>0</v>
      </c>
      <c r="AB17" s="42">
        <f t="shared" si="1"/>
        <v>0</v>
      </c>
      <c r="AC17" s="188">
        <f t="shared" si="5"/>
        <v>0</v>
      </c>
      <c r="AD17" s="70"/>
      <c r="AE17" s="64"/>
      <c r="AG17" s="218">
        <f t="shared" si="6"/>
        <v>0</v>
      </c>
      <c r="AI17" s="64">
        <f t="shared" si="7"/>
        <v>0</v>
      </c>
      <c r="AK17" s="142">
        <f t="shared" si="8"/>
        <v>0</v>
      </c>
      <c r="AM17" s="142">
        <f t="shared" si="9"/>
        <v>0</v>
      </c>
    </row>
    <row r="18" spans="2:41" x14ac:dyDescent="0.25">
      <c r="B18" s="174">
        <v>11870</v>
      </c>
      <c r="C18" s="46" t="s">
        <v>24</v>
      </c>
      <c r="D18" s="65"/>
      <c r="E18" s="48">
        <f t="shared" si="2"/>
        <v>0</v>
      </c>
      <c r="F18" s="49"/>
      <c r="G18" s="50"/>
      <c r="H18" s="51">
        <f t="shared" si="10"/>
        <v>0</v>
      </c>
      <c r="I18" s="177">
        <f t="shared" si="11"/>
        <v>0</v>
      </c>
      <c r="J18" s="207"/>
      <c r="K18" s="241">
        <f t="shared" si="3"/>
        <v>0</v>
      </c>
      <c r="L18" s="223"/>
      <c r="M18" s="206"/>
      <c r="N18" s="195">
        <f t="shared" si="12"/>
        <v>0</v>
      </c>
      <c r="O18" s="196">
        <f t="shared" si="13"/>
        <v>0</v>
      </c>
      <c r="P18" s="66"/>
      <c r="Q18" s="54">
        <f t="shared" si="4"/>
        <v>0</v>
      </c>
      <c r="R18" s="67"/>
      <c r="S18" s="56"/>
      <c r="T18" s="57">
        <f t="shared" si="14"/>
        <v>0</v>
      </c>
      <c r="U18" s="58">
        <f t="shared" si="15"/>
        <v>0</v>
      </c>
      <c r="V18" s="68"/>
      <c r="W18" s="60">
        <f t="shared" si="0"/>
        <v>0</v>
      </c>
      <c r="X18" s="69"/>
      <c r="Y18" s="62"/>
      <c r="Z18" s="63">
        <f t="shared" si="16"/>
        <v>0</v>
      </c>
      <c r="AA18" s="41">
        <f t="shared" si="17"/>
        <v>0</v>
      </c>
      <c r="AB18" s="42">
        <f t="shared" si="1"/>
        <v>0</v>
      </c>
      <c r="AC18" s="188">
        <f t="shared" si="5"/>
        <v>0</v>
      </c>
      <c r="AD18" s="70"/>
      <c r="AE18" s="64"/>
      <c r="AG18" s="218">
        <f t="shared" si="6"/>
        <v>0</v>
      </c>
      <c r="AI18" s="64">
        <f t="shared" si="7"/>
        <v>0</v>
      </c>
      <c r="AK18" s="142">
        <f t="shared" si="8"/>
        <v>0</v>
      </c>
      <c r="AM18" s="142">
        <f t="shared" si="9"/>
        <v>0</v>
      </c>
    </row>
    <row r="19" spans="2:41" x14ac:dyDescent="0.25">
      <c r="B19" s="174">
        <v>6710</v>
      </c>
      <c r="C19" s="46" t="s">
        <v>0</v>
      </c>
      <c r="D19" s="65"/>
      <c r="E19" s="48">
        <f t="shared" si="2"/>
        <v>0</v>
      </c>
      <c r="F19" s="72"/>
      <c r="G19" s="50"/>
      <c r="H19" s="51">
        <f t="shared" si="10"/>
        <v>0</v>
      </c>
      <c r="I19" s="177">
        <f t="shared" si="11"/>
        <v>0</v>
      </c>
      <c r="J19" s="207"/>
      <c r="K19" s="241">
        <f t="shared" si="3"/>
        <v>0</v>
      </c>
      <c r="L19" s="224"/>
      <c r="M19" s="206"/>
      <c r="N19" s="195">
        <f t="shared" si="12"/>
        <v>0</v>
      </c>
      <c r="O19" s="196">
        <f t="shared" si="13"/>
        <v>0</v>
      </c>
      <c r="P19" s="66"/>
      <c r="Q19" s="54">
        <f t="shared" si="4"/>
        <v>0</v>
      </c>
      <c r="R19" s="73"/>
      <c r="S19" s="56"/>
      <c r="T19" s="57">
        <f t="shared" si="14"/>
        <v>0</v>
      </c>
      <c r="U19" s="58">
        <f t="shared" si="15"/>
        <v>0</v>
      </c>
      <c r="V19" s="68"/>
      <c r="W19" s="60">
        <f t="shared" si="0"/>
        <v>0</v>
      </c>
      <c r="X19" s="74"/>
      <c r="Y19" s="62"/>
      <c r="Z19" s="63">
        <f t="shared" si="16"/>
        <v>0</v>
      </c>
      <c r="AA19" s="41">
        <f t="shared" si="17"/>
        <v>0</v>
      </c>
      <c r="AB19" s="42">
        <f t="shared" si="1"/>
        <v>0</v>
      </c>
      <c r="AC19" s="188">
        <f t="shared" si="5"/>
        <v>0</v>
      </c>
      <c r="AD19" s="70"/>
      <c r="AE19" s="64"/>
      <c r="AF19" s="1" t="s">
        <v>25</v>
      </c>
      <c r="AG19" s="218">
        <f t="shared" si="6"/>
        <v>0</v>
      </c>
      <c r="AI19" s="64">
        <f t="shared" si="7"/>
        <v>0</v>
      </c>
      <c r="AK19" s="142">
        <f t="shared" si="8"/>
        <v>0</v>
      </c>
      <c r="AM19" s="142">
        <f t="shared" si="9"/>
        <v>0</v>
      </c>
    </row>
    <row r="20" spans="2:41" x14ac:dyDescent="0.25">
      <c r="B20" s="174" t="s">
        <v>26</v>
      </c>
      <c r="C20" s="46" t="s">
        <v>0</v>
      </c>
      <c r="D20" s="65"/>
      <c r="E20" s="48">
        <v>0</v>
      </c>
      <c r="F20" s="49"/>
      <c r="G20" s="50"/>
      <c r="H20" s="51">
        <f t="shared" si="10"/>
        <v>0</v>
      </c>
      <c r="I20" s="177">
        <f t="shared" si="11"/>
        <v>0</v>
      </c>
      <c r="J20" s="207"/>
      <c r="K20" s="241">
        <v>0</v>
      </c>
      <c r="L20" s="223"/>
      <c r="M20" s="206"/>
      <c r="N20" s="195">
        <f t="shared" si="12"/>
        <v>0</v>
      </c>
      <c r="O20" s="196">
        <f t="shared" si="13"/>
        <v>0</v>
      </c>
      <c r="P20" s="66"/>
      <c r="Q20" s="54">
        <v>0</v>
      </c>
      <c r="R20" s="67"/>
      <c r="S20" s="56"/>
      <c r="T20" s="57">
        <f t="shared" si="14"/>
        <v>0</v>
      </c>
      <c r="U20" s="58">
        <f t="shared" si="15"/>
        <v>0</v>
      </c>
      <c r="V20" s="68"/>
      <c r="W20" s="60">
        <v>0</v>
      </c>
      <c r="X20" s="69"/>
      <c r="Y20" s="62"/>
      <c r="Z20" s="63">
        <f t="shared" si="16"/>
        <v>0</v>
      </c>
      <c r="AA20" s="41">
        <f t="shared" si="17"/>
        <v>0</v>
      </c>
      <c r="AB20" s="42">
        <f t="shared" si="1"/>
        <v>0</v>
      </c>
      <c r="AC20" s="188">
        <f t="shared" si="5"/>
        <v>0</v>
      </c>
      <c r="AD20" s="70"/>
      <c r="AE20" s="64"/>
      <c r="AG20" s="218">
        <f t="shared" si="6"/>
        <v>0</v>
      </c>
      <c r="AI20" s="64">
        <f t="shared" si="7"/>
        <v>0</v>
      </c>
      <c r="AK20" s="142">
        <f t="shared" si="8"/>
        <v>0</v>
      </c>
      <c r="AM20" s="142">
        <f t="shared" si="9"/>
        <v>0</v>
      </c>
    </row>
    <row r="21" spans="2:41" x14ac:dyDescent="0.25">
      <c r="B21" s="174" t="s">
        <v>26</v>
      </c>
      <c r="C21" s="153" t="s">
        <v>28</v>
      </c>
      <c r="D21" s="65"/>
      <c r="E21" s="75">
        <v>0</v>
      </c>
      <c r="F21" s="49"/>
      <c r="G21" s="50"/>
      <c r="H21" s="51">
        <f t="shared" si="10"/>
        <v>0</v>
      </c>
      <c r="I21" s="177">
        <f t="shared" si="11"/>
        <v>0</v>
      </c>
      <c r="J21" s="207"/>
      <c r="K21" s="241">
        <v>0</v>
      </c>
      <c r="L21" s="223"/>
      <c r="M21" s="206"/>
      <c r="N21" s="195">
        <f t="shared" si="12"/>
        <v>0</v>
      </c>
      <c r="O21" s="196">
        <f t="shared" si="13"/>
        <v>0</v>
      </c>
      <c r="P21" s="66"/>
      <c r="Q21" s="54">
        <v>0</v>
      </c>
      <c r="R21" s="67">
        <v>2</v>
      </c>
      <c r="S21" s="56">
        <f>17160+24700</f>
        <v>41860</v>
      </c>
      <c r="T21" s="57">
        <f t="shared" si="14"/>
        <v>2</v>
      </c>
      <c r="U21" s="58">
        <f t="shared" si="15"/>
        <v>41860</v>
      </c>
      <c r="V21" s="68"/>
      <c r="W21" s="60">
        <v>0</v>
      </c>
      <c r="X21" s="69">
        <v>5</v>
      </c>
      <c r="Y21" s="62">
        <f>38450+24700*2+17160*2</f>
        <v>122170</v>
      </c>
      <c r="Z21" s="63">
        <f t="shared" si="16"/>
        <v>5</v>
      </c>
      <c r="AA21" s="41">
        <f t="shared" si="17"/>
        <v>122170</v>
      </c>
      <c r="AB21" s="152">
        <f t="shared" si="1"/>
        <v>7</v>
      </c>
      <c r="AC21" s="220">
        <f t="shared" si="5"/>
        <v>164030</v>
      </c>
      <c r="AD21" s="70"/>
      <c r="AE21" s="64"/>
      <c r="AG21" s="218">
        <f t="shared" si="6"/>
        <v>0</v>
      </c>
      <c r="AI21" s="151">
        <f t="shared" si="7"/>
        <v>164030</v>
      </c>
      <c r="AK21" s="142">
        <f t="shared" si="8"/>
        <v>7</v>
      </c>
      <c r="AM21" s="142">
        <f t="shared" si="9"/>
        <v>0</v>
      </c>
    </row>
    <row r="22" spans="2:41" ht="15.75" thickBot="1" x14ac:dyDescent="0.3">
      <c r="B22" s="176" t="s">
        <v>26</v>
      </c>
      <c r="C22" s="155" t="s">
        <v>29</v>
      </c>
      <c r="D22" s="77"/>
      <c r="E22" s="78">
        <v>0</v>
      </c>
      <c r="F22" s="79"/>
      <c r="G22" s="80"/>
      <c r="H22" s="81">
        <f t="shared" si="10"/>
        <v>0</v>
      </c>
      <c r="I22" s="239">
        <f t="shared" si="11"/>
        <v>0</v>
      </c>
      <c r="J22" s="242"/>
      <c r="K22" s="243">
        <v>0</v>
      </c>
      <c r="L22" s="225"/>
      <c r="M22" s="213"/>
      <c r="N22" s="197">
        <f t="shared" si="12"/>
        <v>0</v>
      </c>
      <c r="O22" s="198">
        <f t="shared" si="13"/>
        <v>0</v>
      </c>
      <c r="P22" s="83"/>
      <c r="Q22" s="84">
        <v>0</v>
      </c>
      <c r="R22" s="85">
        <v>5</v>
      </c>
      <c r="S22" s="86">
        <f>16900+13180+56330+17930+12373</f>
        <v>116713</v>
      </c>
      <c r="T22" s="87">
        <f t="shared" si="14"/>
        <v>5</v>
      </c>
      <c r="U22" s="88">
        <f t="shared" si="15"/>
        <v>116713</v>
      </c>
      <c r="V22" s="89"/>
      <c r="W22" s="60">
        <v>0</v>
      </c>
      <c r="X22" s="90">
        <v>3</v>
      </c>
      <c r="Y22" s="91">
        <f>27780+20290+5550</f>
        <v>53620</v>
      </c>
      <c r="Z22" s="92">
        <f t="shared" si="16"/>
        <v>3</v>
      </c>
      <c r="AA22" s="93">
        <f t="shared" si="17"/>
        <v>53620</v>
      </c>
      <c r="AB22" s="152">
        <f t="shared" si="1"/>
        <v>8</v>
      </c>
      <c r="AC22" s="220">
        <f t="shared" si="5"/>
        <v>170333</v>
      </c>
      <c r="AD22" s="70"/>
      <c r="AE22" s="154">
        <v>8457</v>
      </c>
      <c r="AG22" s="219">
        <f t="shared" si="6"/>
        <v>0</v>
      </c>
      <c r="AI22" s="154">
        <f t="shared" si="7"/>
        <v>170333</v>
      </c>
      <c r="AK22" s="144">
        <f t="shared" si="8"/>
        <v>8</v>
      </c>
      <c r="AM22" s="144">
        <f t="shared" si="9"/>
        <v>0</v>
      </c>
    </row>
    <row r="23" spans="2:41" ht="15.75" thickBot="1" x14ac:dyDescent="0.3">
      <c r="D23" s="95">
        <f t="shared" ref="D23:I23" si="18">SUM(D8:D22)</f>
        <v>0</v>
      </c>
      <c r="E23" s="96">
        <f t="shared" si="18"/>
        <v>0</v>
      </c>
      <c r="F23" s="95">
        <f t="shared" si="18"/>
        <v>11</v>
      </c>
      <c r="G23" s="97">
        <f t="shared" si="18"/>
        <v>65728</v>
      </c>
      <c r="H23" s="98">
        <f t="shared" si="18"/>
        <v>11</v>
      </c>
      <c r="I23" s="99">
        <f t="shared" si="18"/>
        <v>65728</v>
      </c>
      <c r="J23" s="240">
        <f t="shared" ref="J23:O23" si="19">SUM(J8:J22)</f>
        <v>0</v>
      </c>
      <c r="K23" s="226">
        <f t="shared" si="19"/>
        <v>0</v>
      </c>
      <c r="L23" s="214">
        <f t="shared" si="19"/>
        <v>0</v>
      </c>
      <c r="M23" s="216">
        <f t="shared" si="19"/>
        <v>0</v>
      </c>
      <c r="N23" s="217">
        <f t="shared" si="19"/>
        <v>0</v>
      </c>
      <c r="O23" s="99">
        <f t="shared" si="19"/>
        <v>0</v>
      </c>
      <c r="P23" s="100">
        <f t="shared" ref="P23:AA23" si="20">SUM(P8:P22)</f>
        <v>0</v>
      </c>
      <c r="Q23" s="101">
        <f t="shared" si="20"/>
        <v>0</v>
      </c>
      <c r="R23" s="100">
        <f t="shared" si="20"/>
        <v>22</v>
      </c>
      <c r="S23" s="102">
        <f t="shared" si="20"/>
        <v>248949</v>
      </c>
      <c r="T23" s="103">
        <f t="shared" si="20"/>
        <v>22</v>
      </c>
      <c r="U23" s="104">
        <f t="shared" si="20"/>
        <v>248949</v>
      </c>
      <c r="V23" s="105">
        <f t="shared" si="20"/>
        <v>0</v>
      </c>
      <c r="W23" s="106">
        <f t="shared" si="20"/>
        <v>0</v>
      </c>
      <c r="X23" s="105">
        <f t="shared" si="20"/>
        <v>37</v>
      </c>
      <c r="Y23" s="107">
        <f t="shared" si="20"/>
        <v>350538</v>
      </c>
      <c r="Z23" s="108">
        <f t="shared" si="20"/>
        <v>37</v>
      </c>
      <c r="AA23" s="104">
        <f t="shared" si="20"/>
        <v>350538</v>
      </c>
      <c r="AB23" s="109" t="s">
        <v>9</v>
      </c>
      <c r="AC23" s="43">
        <f>SUM(AC8:AC22)</f>
        <v>665215</v>
      </c>
      <c r="AD23" s="70"/>
      <c r="AE23" s="1">
        <f>SUM(AE8:AE22)</f>
        <v>25205</v>
      </c>
      <c r="AI23" s="110"/>
      <c r="AK23" s="1">
        <f>SUM(AK8:AK22)</f>
        <v>70</v>
      </c>
      <c r="AM23" s="1">
        <f>SUM(AM8:AM22)</f>
        <v>0</v>
      </c>
      <c r="AO23" s="1">
        <f>+AK23+AM23</f>
        <v>70</v>
      </c>
    </row>
    <row r="24" spans="2:41" x14ac:dyDescent="0.25">
      <c r="G24" s="111"/>
      <c r="H24" s="111"/>
      <c r="I24" s="111"/>
      <c r="M24" s="111"/>
      <c r="N24" s="111"/>
      <c r="O24" s="111"/>
      <c r="P24" s="111"/>
      <c r="Q24" s="111"/>
      <c r="R24" s="112">
        <f>X23+F23+R23+L23</f>
        <v>70</v>
      </c>
      <c r="S24" s="113">
        <f>G23+Y23+S23+M23</f>
        <v>665215</v>
      </c>
      <c r="T24" s="111"/>
      <c r="U24" s="111"/>
      <c r="V24" s="111"/>
      <c r="W24" s="111"/>
      <c r="X24" s="111"/>
      <c r="Y24" s="111"/>
      <c r="Z24" s="111"/>
      <c r="AA24" s="111"/>
      <c r="AB24" s="2"/>
      <c r="AC24" s="70">
        <f>AA23+U23+I23+O23</f>
        <v>665215</v>
      </c>
      <c r="AD24" s="2"/>
    </row>
    <row r="25" spans="2:41" x14ac:dyDescent="0.25">
      <c r="D25" s="114" t="s">
        <v>30</v>
      </c>
      <c r="E25" s="114"/>
      <c r="G25" s="114"/>
      <c r="H25" s="114"/>
      <c r="I25" s="114"/>
      <c r="J25" s="114" t="s">
        <v>30</v>
      </c>
      <c r="K25" s="114"/>
      <c r="M25" s="114"/>
      <c r="N25" s="114"/>
      <c r="O25" s="114"/>
      <c r="P25" s="114"/>
      <c r="Q25" s="114"/>
      <c r="R25" s="114"/>
      <c r="S25" s="114"/>
      <c r="T25" s="114"/>
      <c r="U25" s="114"/>
      <c r="AA25" s="2"/>
      <c r="AB25" s="2"/>
      <c r="AC25" s="2"/>
      <c r="AD25" s="2"/>
    </row>
    <row r="26" spans="2:41" x14ac:dyDescent="0.25">
      <c r="D26" s="114"/>
      <c r="E26" s="114"/>
      <c r="J26" s="114"/>
      <c r="K26" s="114"/>
      <c r="P26" s="1"/>
      <c r="Q26" s="1"/>
      <c r="R26" s="1"/>
      <c r="S26" s="1"/>
      <c r="T26" s="1"/>
      <c r="U26" s="1"/>
      <c r="AA26" s="2"/>
      <c r="AB26" s="2"/>
      <c r="AC26" s="2"/>
      <c r="AD26" s="2"/>
    </row>
    <row r="27" spans="2:41" x14ac:dyDescent="0.25">
      <c r="C27" s="115">
        <v>20000</v>
      </c>
      <c r="D27" s="115"/>
      <c r="E27" s="115"/>
      <c r="F27" s="116"/>
      <c r="G27" s="117"/>
      <c r="H27" s="118"/>
      <c r="I27" s="119">
        <v>20000</v>
      </c>
      <c r="J27" s="115"/>
      <c r="K27" s="115"/>
      <c r="L27" s="116"/>
      <c r="M27" s="117"/>
      <c r="N27" s="118"/>
      <c r="O27" s="119"/>
      <c r="P27" s="119"/>
      <c r="Q27" s="119"/>
      <c r="R27" s="119"/>
      <c r="S27" s="119"/>
      <c r="T27" s="119"/>
      <c r="U27" s="119">
        <v>120000</v>
      </c>
      <c r="V27" s="119"/>
      <c r="W27" s="119"/>
      <c r="X27" s="120"/>
      <c r="Y27" s="121"/>
      <c r="Z27" s="120"/>
      <c r="AA27" s="119">
        <v>20000</v>
      </c>
      <c r="AB27" s="122"/>
      <c r="AC27" s="122"/>
      <c r="AD27" s="2"/>
      <c r="AE27" s="2"/>
      <c r="AF27" s="2"/>
    </row>
    <row r="28" spans="2:41" x14ac:dyDescent="0.25">
      <c r="C28" s="115">
        <v>10000</v>
      </c>
      <c r="D28" s="115"/>
      <c r="E28" s="115"/>
      <c r="F28" s="116"/>
      <c r="G28" s="117"/>
      <c r="H28" s="118"/>
      <c r="I28" s="119">
        <v>40000</v>
      </c>
      <c r="J28" s="115"/>
      <c r="K28" s="115"/>
      <c r="L28" s="116"/>
      <c r="M28" s="117"/>
      <c r="N28" s="118"/>
      <c r="O28" s="119"/>
      <c r="P28" s="119"/>
      <c r="Q28" s="119"/>
      <c r="R28" s="119"/>
      <c r="S28" s="119"/>
      <c r="T28" s="119"/>
      <c r="U28" s="119">
        <v>120000</v>
      </c>
      <c r="V28" s="119"/>
      <c r="W28" s="119"/>
      <c r="X28" s="120"/>
      <c r="Y28" s="122"/>
      <c r="Z28" s="120"/>
      <c r="AA28" s="119">
        <v>120000</v>
      </c>
      <c r="AB28" s="122"/>
      <c r="AC28" s="122"/>
      <c r="AD28" s="2"/>
      <c r="AE28" s="2"/>
      <c r="AF28" s="2"/>
    </row>
    <row r="29" spans="2:41" x14ac:dyDescent="0.25">
      <c r="C29" s="115">
        <v>5000</v>
      </c>
      <c r="D29" s="115"/>
      <c r="E29" s="115"/>
      <c r="F29" s="116"/>
      <c r="G29" s="117"/>
      <c r="H29" s="118"/>
      <c r="I29" s="119">
        <v>5000</v>
      </c>
      <c r="J29" s="115"/>
      <c r="K29" s="115"/>
      <c r="L29" s="116"/>
      <c r="M29" s="117"/>
      <c r="N29" s="118"/>
      <c r="O29" s="119"/>
      <c r="P29" s="119"/>
      <c r="Q29" s="119"/>
      <c r="R29" s="119"/>
      <c r="S29" s="119"/>
      <c r="T29" s="119"/>
      <c r="U29" s="119">
        <v>5000</v>
      </c>
      <c r="V29" s="119"/>
      <c r="W29" s="119"/>
      <c r="X29" s="120"/>
      <c r="Y29" s="121"/>
      <c r="Z29" s="120"/>
      <c r="AA29" s="119">
        <v>45000</v>
      </c>
      <c r="AB29" s="122"/>
      <c r="AC29" s="122"/>
      <c r="AD29" s="2"/>
      <c r="AE29" s="2"/>
      <c r="AF29" s="2"/>
    </row>
    <row r="30" spans="2:41" x14ac:dyDescent="0.25">
      <c r="C30" s="115">
        <v>2000</v>
      </c>
      <c r="D30" s="115"/>
      <c r="E30" s="115"/>
      <c r="F30" s="116"/>
      <c r="G30" s="117"/>
      <c r="H30" s="118"/>
      <c r="I30" s="119">
        <v>0</v>
      </c>
      <c r="J30" s="115"/>
      <c r="K30" s="115"/>
      <c r="L30" s="116"/>
      <c r="M30" s="117"/>
      <c r="N30" s="118"/>
      <c r="O30" s="119"/>
      <c r="P30" s="119"/>
      <c r="Q30" s="119"/>
      <c r="R30" s="119"/>
      <c r="S30" s="119"/>
      <c r="T30" s="119"/>
      <c r="U30" s="119">
        <v>0</v>
      </c>
      <c r="V30" s="119"/>
      <c r="W30" s="119"/>
      <c r="X30" s="120"/>
      <c r="Y30" s="121"/>
      <c r="Z30" s="120"/>
      <c r="AA30" s="119">
        <v>0</v>
      </c>
      <c r="AB30" s="122"/>
      <c r="AC30" s="122"/>
      <c r="AD30" s="123"/>
    </row>
    <row r="31" spans="2:41" x14ac:dyDescent="0.25">
      <c r="C31" s="115">
        <v>1000</v>
      </c>
      <c r="D31" s="115"/>
      <c r="E31" s="115"/>
      <c r="F31" s="116"/>
      <c r="G31" s="117"/>
      <c r="H31" s="118"/>
      <c r="I31" s="124">
        <v>0</v>
      </c>
      <c r="J31" s="115"/>
      <c r="K31" s="115"/>
      <c r="L31" s="116"/>
      <c r="M31" s="117"/>
      <c r="N31" s="118"/>
      <c r="O31" s="124"/>
      <c r="P31" s="124"/>
      <c r="Q31" s="124"/>
      <c r="R31" s="124"/>
      <c r="S31" s="124"/>
      <c r="T31" s="124"/>
      <c r="U31" s="124">
        <v>3000</v>
      </c>
      <c r="V31" s="124"/>
      <c r="W31" s="124"/>
      <c r="X31" s="120"/>
      <c r="Y31" s="121"/>
      <c r="Z31" s="120"/>
      <c r="AA31" s="124">
        <v>2000</v>
      </c>
      <c r="AB31" s="122"/>
      <c r="AC31" s="122"/>
      <c r="AD31" s="2"/>
    </row>
    <row r="32" spans="2:41" x14ac:dyDescent="0.25">
      <c r="C32" s="115">
        <v>500</v>
      </c>
      <c r="D32" s="115"/>
      <c r="E32" s="115"/>
      <c r="F32" s="116"/>
      <c r="G32" s="117"/>
      <c r="H32" s="118"/>
      <c r="I32" s="119">
        <v>500</v>
      </c>
      <c r="J32" s="115"/>
      <c r="K32" s="115"/>
      <c r="L32" s="116"/>
      <c r="M32" s="117"/>
      <c r="N32" s="118"/>
      <c r="O32" s="119"/>
      <c r="P32" s="119"/>
      <c r="Q32" s="119"/>
      <c r="R32" s="119"/>
      <c r="S32" s="119"/>
      <c r="T32" s="119"/>
      <c r="U32" s="119">
        <v>500</v>
      </c>
      <c r="V32" s="119"/>
      <c r="W32" s="119"/>
      <c r="X32" s="120"/>
      <c r="Y32" s="121"/>
      <c r="Z32" s="120"/>
      <c r="AA32" s="119">
        <v>0</v>
      </c>
      <c r="AB32" s="121"/>
      <c r="AC32" s="121"/>
      <c r="AD32" s="2"/>
    </row>
    <row r="33" spans="2:33" x14ac:dyDescent="0.25">
      <c r="C33" s="115">
        <v>100</v>
      </c>
      <c r="D33" s="115"/>
      <c r="E33" s="115"/>
      <c r="F33" s="116"/>
      <c r="G33" s="117"/>
      <c r="H33" s="118"/>
      <c r="I33" s="119">
        <v>200</v>
      </c>
      <c r="J33" s="115"/>
      <c r="K33" s="115"/>
      <c r="L33" s="116"/>
      <c r="M33" s="117"/>
      <c r="N33" s="118"/>
      <c r="O33" s="119"/>
      <c r="P33" s="119"/>
      <c r="Q33" s="119"/>
      <c r="R33" s="119"/>
      <c r="S33" s="119"/>
      <c r="T33" s="119"/>
      <c r="U33" s="119">
        <v>400</v>
      </c>
      <c r="V33" s="119"/>
      <c r="W33" s="119"/>
      <c r="X33" s="120"/>
      <c r="Y33" s="121"/>
      <c r="Z33" s="120"/>
      <c r="AA33" s="119">
        <v>100</v>
      </c>
      <c r="AB33" s="121"/>
      <c r="AC33" s="121"/>
      <c r="AD33" s="2"/>
    </row>
    <row r="34" spans="2:33" x14ac:dyDescent="0.25">
      <c r="C34" s="115">
        <v>50</v>
      </c>
      <c r="D34" s="115"/>
      <c r="E34" s="115"/>
      <c r="F34" s="116"/>
      <c r="G34" s="117"/>
      <c r="H34" s="118"/>
      <c r="I34" s="119">
        <v>0</v>
      </c>
      <c r="J34" s="115"/>
      <c r="K34" s="115"/>
      <c r="L34" s="116"/>
      <c r="M34" s="117"/>
      <c r="N34" s="118"/>
      <c r="O34" s="119"/>
      <c r="P34" s="119"/>
      <c r="Q34" s="119"/>
      <c r="R34" s="119"/>
      <c r="S34" s="119"/>
      <c r="T34" s="119"/>
      <c r="U34" s="119">
        <v>50</v>
      </c>
      <c r="V34" s="119"/>
      <c r="W34" s="119"/>
      <c r="X34" s="120"/>
      <c r="Y34" s="121"/>
      <c r="Z34" s="120"/>
      <c r="AA34" s="119">
        <v>50</v>
      </c>
      <c r="AB34" s="121"/>
      <c r="AC34" s="121"/>
      <c r="AD34" s="2"/>
    </row>
    <row r="35" spans="2:33" x14ac:dyDescent="0.25">
      <c r="C35" s="115">
        <v>10</v>
      </c>
      <c r="D35" s="115"/>
      <c r="E35" s="115"/>
      <c r="F35" s="116"/>
      <c r="G35" s="117"/>
      <c r="H35" s="118"/>
      <c r="I35" s="119">
        <v>30</v>
      </c>
      <c r="J35" s="115"/>
      <c r="K35" s="115"/>
      <c r="L35" s="116"/>
      <c r="M35" s="117"/>
      <c r="N35" s="118"/>
      <c r="O35" s="119"/>
      <c r="P35" s="119"/>
      <c r="Q35" s="119"/>
      <c r="R35" s="119"/>
      <c r="S35" s="119"/>
      <c r="T35" s="119"/>
      <c r="U35" s="119">
        <v>0</v>
      </c>
      <c r="V35" s="119"/>
      <c r="W35" s="119"/>
      <c r="X35" s="120"/>
      <c r="Y35" s="121"/>
      <c r="Z35" s="120"/>
      <c r="AA35" s="119">
        <v>20</v>
      </c>
      <c r="AB35" s="121"/>
      <c r="AC35" s="121"/>
      <c r="AD35" s="2"/>
      <c r="AG35" s="1" t="s">
        <v>25</v>
      </c>
    </row>
    <row r="36" spans="2:33" x14ac:dyDescent="0.25">
      <c r="C36" s="1" t="s">
        <v>32</v>
      </c>
      <c r="E36" s="131"/>
      <c r="G36" s="125"/>
      <c r="H36" s="118"/>
      <c r="I36" s="124">
        <v>-2</v>
      </c>
      <c r="K36" s="131"/>
      <c r="M36" s="125"/>
      <c r="N36" s="118"/>
      <c r="O36" s="124"/>
      <c r="P36" s="124"/>
      <c r="Q36" s="124"/>
      <c r="R36" s="124"/>
      <c r="S36" s="124"/>
      <c r="T36" s="124"/>
      <c r="U36" s="124">
        <v>-1</v>
      </c>
      <c r="V36" s="124"/>
      <c r="W36" s="124"/>
      <c r="X36" s="120"/>
      <c r="Y36" s="124"/>
      <c r="Z36" s="120"/>
      <c r="AA36" s="124">
        <f>163372-4</f>
        <v>163368</v>
      </c>
      <c r="AB36" s="124"/>
      <c r="AC36" s="124"/>
      <c r="AD36" s="2"/>
    </row>
    <row r="37" spans="2:33" s="114" customFormat="1" ht="15.75" x14ac:dyDescent="0.25">
      <c r="F37" s="126"/>
      <c r="G37" s="127"/>
      <c r="I37" s="128">
        <f>SUM(I27:I36)</f>
        <v>65728</v>
      </c>
      <c r="L37" s="126"/>
      <c r="M37" s="127"/>
      <c r="O37" s="128">
        <f>SUM(O27:O36)</f>
        <v>0</v>
      </c>
      <c r="P37" s="116"/>
      <c r="Q37" s="116"/>
      <c r="R37" s="116"/>
      <c r="S37" s="116"/>
      <c r="T37" s="116"/>
      <c r="U37" s="128">
        <f>SUM(U27:U36)</f>
        <v>248949</v>
      </c>
      <c r="V37" s="116"/>
      <c r="W37" s="116"/>
      <c r="X37" s="123"/>
      <c r="Y37" s="116"/>
      <c r="Z37" s="123"/>
      <c r="AA37" s="128">
        <f>SUM(AA27:AA36)</f>
        <v>350538</v>
      </c>
      <c r="AB37" s="129"/>
      <c r="AC37" s="125">
        <f>+I37+U37+AA37+O37</f>
        <v>665215</v>
      </c>
    </row>
    <row r="38" spans="2:33" x14ac:dyDescent="0.25">
      <c r="B38" s="2"/>
      <c r="C38" s="2"/>
      <c r="D38" s="2"/>
      <c r="E38" s="70"/>
      <c r="F38" s="2"/>
      <c r="G38" s="2"/>
      <c r="H38" s="2"/>
      <c r="I38" s="2"/>
      <c r="J38" s="2"/>
      <c r="K38" s="70"/>
      <c r="L38" s="2"/>
      <c r="M38" s="2"/>
      <c r="N38" s="2"/>
      <c r="O38" s="2"/>
      <c r="U38" s="70"/>
      <c r="X38" s="70"/>
      <c r="AA38" s="2"/>
      <c r="AB38" s="130"/>
      <c r="AC38" s="131">
        <f>AC37-AC24</f>
        <v>0</v>
      </c>
    </row>
    <row r="39" spans="2:33" x14ac:dyDescent="0.25">
      <c r="B39" s="2"/>
      <c r="C39" s="2"/>
      <c r="D39" s="2"/>
      <c r="E39" s="70"/>
      <c r="F39" s="2"/>
      <c r="G39" s="2"/>
      <c r="H39" s="2"/>
      <c r="I39" s="129"/>
      <c r="J39" s="2"/>
      <c r="K39" s="70"/>
      <c r="L39" s="2"/>
      <c r="M39" s="2"/>
      <c r="N39" s="2"/>
      <c r="O39" s="129"/>
      <c r="U39" s="129"/>
      <c r="X39" s="70"/>
      <c r="AA39" s="129"/>
      <c r="AB39" s="130"/>
      <c r="AC39" s="131"/>
    </row>
    <row r="40" spans="2:33" x14ac:dyDescent="0.25">
      <c r="E40" s="110"/>
      <c r="Q40" s="133"/>
      <c r="Y40" s="1"/>
      <c r="Z40" s="1"/>
    </row>
    <row r="41" spans="2:33" x14ac:dyDescent="0.25">
      <c r="S41" s="129"/>
      <c r="T41" s="129"/>
      <c r="U41" s="129"/>
      <c r="W41" s="130"/>
    </row>
  </sheetData>
  <mergeCells count="11">
    <mergeCell ref="B6:B7"/>
    <mergeCell ref="C6:C7"/>
    <mergeCell ref="D6:I6"/>
    <mergeCell ref="J6:O6"/>
    <mergeCell ref="P6:U6"/>
    <mergeCell ref="AB6:AB7"/>
    <mergeCell ref="AC6:AC7"/>
    <mergeCell ref="AE6:AE7"/>
    <mergeCell ref="Q3:T3"/>
    <mergeCell ref="C4:D4"/>
    <mergeCell ref="V6:AA6"/>
  </mergeCells>
  <pageMargins left="0.19685039370078741" right="0.19685039370078741" top="0.19685039370078741" bottom="0.19685039370078741" header="0" footer="0"/>
  <pageSetup paperSize="9" scale="69" orientation="landscape" horizontalDpi="0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>
    <pageSetUpPr fitToPage="1"/>
  </sheetPr>
  <dimension ref="A1:AO60"/>
  <sheetViews>
    <sheetView workbookViewId="0">
      <pane xSplit="3" topLeftCell="J1" activePane="topRight" state="frozen"/>
      <selection activeCell="G14" sqref="G14"/>
      <selection pane="topRight" activeCell="AG41" sqref="B2:AG41"/>
    </sheetView>
  </sheetViews>
  <sheetFormatPr baseColWidth="10" defaultRowHeight="15" x14ac:dyDescent="0.25"/>
  <cols>
    <col min="1" max="1" width="1.7109375" style="1" customWidth="1"/>
    <col min="2" max="2" width="10" style="1" customWidth="1"/>
    <col min="3" max="3" width="29" style="1" customWidth="1"/>
    <col min="4" max="4" width="5.7109375" style="1" hidden="1" customWidth="1"/>
    <col min="5" max="5" width="10.7109375" style="1" hidden="1" customWidth="1"/>
    <col min="6" max="6" width="5.7109375" style="1" hidden="1" customWidth="1"/>
    <col min="7" max="7" width="10.7109375" style="1" hidden="1" customWidth="1"/>
    <col min="8" max="8" width="5.7109375" style="1" hidden="1" customWidth="1"/>
    <col min="9" max="9" width="10.7109375" style="1" hidden="1" customWidth="1"/>
    <col min="10" max="10" width="5.7109375" style="1" customWidth="1"/>
    <col min="11" max="11" width="10.7109375" style="1" customWidth="1"/>
    <col min="12" max="12" width="5.7109375" style="1" customWidth="1"/>
    <col min="13" max="13" width="10.7109375" style="1" customWidth="1"/>
    <col min="14" max="14" width="5.7109375" style="1" customWidth="1"/>
    <col min="15" max="15" width="10.7109375" style="1" customWidth="1"/>
    <col min="16" max="16" width="5.7109375" style="2" customWidth="1"/>
    <col min="17" max="17" width="10.7109375" style="2" customWidth="1"/>
    <col min="18" max="18" width="5.7109375" style="2" customWidth="1"/>
    <col min="19" max="19" width="10.7109375" style="2" customWidth="1"/>
    <col min="20" max="20" width="5.7109375" style="2" customWidth="1"/>
    <col min="21" max="21" width="10.7109375" style="2" customWidth="1"/>
    <col min="22" max="22" width="5.7109375" style="2" customWidth="1"/>
    <col min="23" max="23" width="10.7109375" style="2" customWidth="1"/>
    <col min="24" max="24" width="5.7109375" style="2" customWidth="1"/>
    <col min="25" max="25" width="10.7109375" style="2" customWidth="1"/>
    <col min="26" max="26" width="5.7109375" style="2" customWidth="1"/>
    <col min="27" max="27" width="10.7109375" style="1" customWidth="1"/>
    <col min="28" max="28" width="9.5703125" style="1" customWidth="1"/>
    <col min="29" max="29" width="14.5703125" style="1" bestFit="1" customWidth="1"/>
    <col min="30" max="30" width="3.28515625" style="1" customWidth="1"/>
    <col min="31" max="31" width="11.42578125" style="1"/>
    <col min="32" max="32" width="3.7109375" style="1" customWidth="1"/>
    <col min="33" max="33" width="10.140625" style="1" customWidth="1"/>
    <col min="34" max="34" width="3.7109375" style="1" customWidth="1"/>
    <col min="35" max="35" width="11.42578125" style="1"/>
    <col min="36" max="36" width="3.7109375" style="1" customWidth="1"/>
    <col min="37" max="37" width="5.7109375" style="1" customWidth="1"/>
    <col min="38" max="38" width="3.7109375" style="1" customWidth="1"/>
    <col min="39" max="39" width="5.7109375" style="1" customWidth="1"/>
    <col min="40" max="40" width="3.7109375" style="1" customWidth="1"/>
    <col min="41" max="41" width="5.7109375" style="1" customWidth="1"/>
    <col min="42" max="16384" width="11.42578125" style="1"/>
  </cols>
  <sheetData>
    <row r="1" spans="1:39" ht="5.25" customHeight="1" x14ac:dyDescent="0.25">
      <c r="Y1" s="1"/>
      <c r="Z1" s="1"/>
    </row>
    <row r="2" spans="1:39" ht="21" x14ac:dyDescent="0.35">
      <c r="B2" s="3" t="s">
        <v>0</v>
      </c>
      <c r="P2" s="1"/>
      <c r="Q2" s="4"/>
      <c r="Z2" s="1"/>
    </row>
    <row r="3" spans="1:39" ht="15" customHeight="1" x14ac:dyDescent="0.25">
      <c r="A3" s="5"/>
      <c r="B3" s="6" t="s">
        <v>1</v>
      </c>
      <c r="C3" s="7"/>
      <c r="D3" s="7"/>
      <c r="E3" s="7"/>
      <c r="F3" s="7"/>
      <c r="P3" s="1"/>
      <c r="Q3" s="353"/>
      <c r="R3" s="353"/>
      <c r="S3" s="353"/>
      <c r="T3" s="353"/>
      <c r="U3" s="158"/>
      <c r="V3" s="158"/>
      <c r="Z3" s="1"/>
    </row>
    <row r="4" spans="1:39" ht="18" customHeight="1" x14ac:dyDescent="0.25">
      <c r="B4" s="159" t="s">
        <v>2</v>
      </c>
      <c r="C4" s="354" t="s">
        <v>59</v>
      </c>
      <c r="D4" s="355"/>
      <c r="E4" s="159"/>
      <c r="F4" s="159"/>
      <c r="P4" s="1"/>
      <c r="Q4" s="9"/>
      <c r="R4" s="10"/>
      <c r="S4" s="9"/>
      <c r="T4" s="9"/>
      <c r="U4" s="9"/>
      <c r="V4" s="9"/>
      <c r="Z4" s="1"/>
    </row>
    <row r="5" spans="1:39" ht="15.75" thickBot="1" x14ac:dyDescent="0.3">
      <c r="A5" s="159"/>
      <c r="B5" s="159"/>
      <c r="C5" s="159"/>
      <c r="D5" s="189"/>
      <c r="E5" s="189"/>
      <c r="J5" s="189"/>
      <c r="K5" s="189"/>
      <c r="P5" s="1"/>
      <c r="Q5" s="1"/>
      <c r="R5" s="1"/>
      <c r="S5" s="1"/>
      <c r="T5" s="1"/>
      <c r="U5" s="1"/>
      <c r="V5" s="9"/>
      <c r="W5" s="9"/>
      <c r="X5" s="9"/>
      <c r="Y5" s="9"/>
      <c r="Z5" s="9"/>
      <c r="AA5" s="9"/>
      <c r="AB5" s="2"/>
      <c r="AC5" s="2"/>
      <c r="AD5" s="2"/>
    </row>
    <row r="6" spans="1:39" ht="27.75" customHeight="1" thickBot="1" x14ac:dyDescent="0.3">
      <c r="B6" s="356" t="s">
        <v>3</v>
      </c>
      <c r="C6" s="343" t="s">
        <v>4</v>
      </c>
      <c r="D6" s="358" t="s">
        <v>36</v>
      </c>
      <c r="E6" s="359"/>
      <c r="F6" s="360"/>
      <c r="G6" s="360"/>
      <c r="H6" s="360"/>
      <c r="I6" s="361"/>
      <c r="J6" s="370" t="s">
        <v>43</v>
      </c>
      <c r="K6" s="371"/>
      <c r="L6" s="372"/>
      <c r="M6" s="372"/>
      <c r="N6" s="372"/>
      <c r="O6" s="373"/>
      <c r="P6" s="362" t="s">
        <v>42</v>
      </c>
      <c r="Q6" s="363"/>
      <c r="R6" s="364"/>
      <c r="S6" s="364"/>
      <c r="T6" s="364"/>
      <c r="U6" s="365"/>
      <c r="V6" s="366" t="s">
        <v>54</v>
      </c>
      <c r="W6" s="367"/>
      <c r="X6" s="368"/>
      <c r="Y6" s="368"/>
      <c r="Z6" s="368"/>
      <c r="AA6" s="369"/>
      <c r="AB6" s="349" t="s">
        <v>5</v>
      </c>
      <c r="AC6" s="349" t="s">
        <v>6</v>
      </c>
      <c r="AD6" s="2"/>
      <c r="AE6" s="351" t="s">
        <v>7</v>
      </c>
      <c r="AF6" s="2"/>
    </row>
    <row r="7" spans="1:39" ht="25.5" customHeight="1" thickBot="1" x14ac:dyDescent="0.3">
      <c r="B7" s="357"/>
      <c r="C7" s="344"/>
      <c r="D7" s="11" t="s">
        <v>8</v>
      </c>
      <c r="E7" s="14" t="s">
        <v>9</v>
      </c>
      <c r="F7" s="13" t="s">
        <v>8</v>
      </c>
      <c r="G7" s="14" t="s">
        <v>9</v>
      </c>
      <c r="H7" s="11" t="s">
        <v>5</v>
      </c>
      <c r="I7" s="14" t="s">
        <v>10</v>
      </c>
      <c r="J7" s="190" t="s">
        <v>8</v>
      </c>
      <c r="K7" s="192" t="s">
        <v>9</v>
      </c>
      <c r="L7" s="191" t="s">
        <v>8</v>
      </c>
      <c r="M7" s="192" t="s">
        <v>9</v>
      </c>
      <c r="N7" s="190" t="s">
        <v>5</v>
      </c>
      <c r="O7" s="192" t="s">
        <v>10</v>
      </c>
      <c r="P7" s="15" t="s">
        <v>8</v>
      </c>
      <c r="Q7" s="16" t="s">
        <v>9</v>
      </c>
      <c r="R7" s="17" t="s">
        <v>8</v>
      </c>
      <c r="S7" s="16" t="s">
        <v>9</v>
      </c>
      <c r="T7" s="15" t="s">
        <v>5</v>
      </c>
      <c r="U7" s="16" t="s">
        <v>10</v>
      </c>
      <c r="V7" s="18" t="s">
        <v>8</v>
      </c>
      <c r="W7" s="19" t="s">
        <v>9</v>
      </c>
      <c r="X7" s="20" t="s">
        <v>8</v>
      </c>
      <c r="Y7" s="21" t="s">
        <v>9</v>
      </c>
      <c r="Z7" s="18" t="s">
        <v>5</v>
      </c>
      <c r="AA7" s="21" t="s">
        <v>10</v>
      </c>
      <c r="AB7" s="350"/>
      <c r="AC7" s="350"/>
      <c r="AD7" s="2"/>
      <c r="AE7" s="352"/>
      <c r="AG7" s="22" t="s">
        <v>11</v>
      </c>
      <c r="AI7" s="22" t="s">
        <v>12</v>
      </c>
    </row>
    <row r="8" spans="1:39" x14ac:dyDescent="0.25">
      <c r="B8" s="173">
        <v>6320</v>
      </c>
      <c r="C8" s="157" t="s">
        <v>13</v>
      </c>
      <c r="D8" s="24"/>
      <c r="E8" s="25">
        <f>+D8*B8</f>
        <v>0</v>
      </c>
      <c r="F8" s="26"/>
      <c r="G8" s="27"/>
      <c r="H8" s="28">
        <f>D8+F8</f>
        <v>0</v>
      </c>
      <c r="I8" s="29">
        <f>E8+G8</f>
        <v>0</v>
      </c>
      <c r="J8" s="199"/>
      <c r="K8" s="200">
        <f>+J8*H8</f>
        <v>0</v>
      </c>
      <c r="L8" s="201">
        <v>5</v>
      </c>
      <c r="M8" s="202">
        <f>6320*4+1264</f>
        <v>26544</v>
      </c>
      <c r="N8" s="193">
        <f>J8+L8</f>
        <v>5</v>
      </c>
      <c r="O8" s="194">
        <f>K8+M8</f>
        <v>26544</v>
      </c>
      <c r="P8" s="30"/>
      <c r="Q8" s="31">
        <f>+P8*B8</f>
        <v>0</v>
      </c>
      <c r="R8" s="32">
        <v>5</v>
      </c>
      <c r="S8" s="33">
        <f>6320*5</f>
        <v>31600</v>
      </c>
      <c r="T8" s="34">
        <f>P8+R8</f>
        <v>5</v>
      </c>
      <c r="U8" s="35">
        <f>Q8+S8</f>
        <v>31600</v>
      </c>
      <c r="V8" s="36"/>
      <c r="W8" s="37">
        <f t="shared" ref="W8:W19" si="0">+V8*B8</f>
        <v>0</v>
      </c>
      <c r="X8" s="38">
        <v>11</v>
      </c>
      <c r="Y8" s="39">
        <f>6320*11</f>
        <v>69520</v>
      </c>
      <c r="Z8" s="40">
        <f>V8+X8</f>
        <v>11</v>
      </c>
      <c r="AA8" s="41">
        <f>Y8+W8</f>
        <v>69520</v>
      </c>
      <c r="AB8" s="152">
        <f>+D8+F8+P8+R8+V8+X8+J8+L8</f>
        <v>21</v>
      </c>
      <c r="AC8" s="220">
        <f>+E8+G8+Q8+S8+W8+Y8+K8+M8</f>
        <v>127664</v>
      </c>
      <c r="AD8" s="44"/>
      <c r="AE8" s="156">
        <v>5056</v>
      </c>
      <c r="AG8" s="187">
        <f>E8+W8+Q8+K8</f>
        <v>0</v>
      </c>
      <c r="AI8" s="156">
        <f>G8+Y8+S8+M8</f>
        <v>127664</v>
      </c>
      <c r="AK8" s="139">
        <f>F8+R8+X8+L8</f>
        <v>21</v>
      </c>
      <c r="AM8" s="139">
        <f>+D8+P8+V8+J8</f>
        <v>0</v>
      </c>
    </row>
    <row r="9" spans="1:39" x14ac:dyDescent="0.25">
      <c r="B9" s="174">
        <v>6320</v>
      </c>
      <c r="C9" s="46" t="s">
        <v>14</v>
      </c>
      <c r="D9" s="47"/>
      <c r="E9" s="48">
        <f t="shared" ref="E9:E19" si="1">+D9*B9</f>
        <v>0</v>
      </c>
      <c r="F9" s="49"/>
      <c r="G9" s="50"/>
      <c r="H9" s="51">
        <f>D9+F9</f>
        <v>0</v>
      </c>
      <c r="I9" s="52">
        <f>G9+E9</f>
        <v>0</v>
      </c>
      <c r="J9" s="203"/>
      <c r="K9" s="204">
        <f t="shared" ref="K9:K15" si="2">+J9*H9</f>
        <v>0</v>
      </c>
      <c r="L9" s="205"/>
      <c r="M9" s="206"/>
      <c r="N9" s="195">
        <f>J9+L9</f>
        <v>0</v>
      </c>
      <c r="O9" s="196">
        <f>M9+K9</f>
        <v>0</v>
      </c>
      <c r="P9" s="53"/>
      <c r="Q9" s="54">
        <f t="shared" ref="Q9:Q19" si="3">+P9*B9</f>
        <v>0</v>
      </c>
      <c r="R9" s="55"/>
      <c r="S9" s="56"/>
      <c r="T9" s="57">
        <f>P9+R9</f>
        <v>0</v>
      </c>
      <c r="U9" s="58">
        <f>S9+Q9</f>
        <v>0</v>
      </c>
      <c r="V9" s="59"/>
      <c r="W9" s="60">
        <f t="shared" si="0"/>
        <v>0</v>
      </c>
      <c r="X9" s="61"/>
      <c r="Y9" s="62"/>
      <c r="Z9" s="63">
        <f>V9+X9</f>
        <v>0</v>
      </c>
      <c r="AA9" s="41">
        <f>Y9+W9</f>
        <v>0</v>
      </c>
      <c r="AB9" s="42">
        <f t="shared" ref="AB9:AB22" si="4">+D9+F9+P9+R9+V9+X9+J9+L9</f>
        <v>0</v>
      </c>
      <c r="AC9" s="188">
        <f t="shared" ref="AC9:AC22" si="5">+E9+G9+Q9+S9+W9+Y9+K9+M9</f>
        <v>0</v>
      </c>
      <c r="AD9" s="44"/>
      <c r="AE9" s="64"/>
      <c r="AG9" s="218">
        <f t="shared" ref="AG9:AG22" si="6">E9+W9+Q9+K9</f>
        <v>0</v>
      </c>
      <c r="AI9" s="64">
        <f t="shared" ref="AI9:AI22" si="7">G9+Y9+S9+M9</f>
        <v>0</v>
      </c>
      <c r="AK9" s="142">
        <f t="shared" ref="AK9:AK22" si="8">F9+R9+X9+L9</f>
        <v>0</v>
      </c>
      <c r="AM9" s="142">
        <f t="shared" ref="AM9:AM22" si="9">+D9+P9+V9+J9</f>
        <v>0</v>
      </c>
    </row>
    <row r="10" spans="1:39" x14ac:dyDescent="0.25">
      <c r="B10" s="174">
        <v>6320</v>
      </c>
      <c r="C10" s="46" t="s">
        <v>16</v>
      </c>
      <c r="D10" s="47"/>
      <c r="E10" s="48">
        <f t="shared" si="1"/>
        <v>0</v>
      </c>
      <c r="F10" s="49"/>
      <c r="G10" s="50"/>
      <c r="H10" s="51">
        <f t="shared" ref="H10:H22" si="10">D10+F10</f>
        <v>0</v>
      </c>
      <c r="I10" s="52">
        <f t="shared" ref="I10:I22" si="11">G10+E10</f>
        <v>0</v>
      </c>
      <c r="J10" s="203"/>
      <c r="K10" s="204">
        <f t="shared" si="2"/>
        <v>0</v>
      </c>
      <c r="L10" s="205"/>
      <c r="M10" s="206"/>
      <c r="N10" s="195">
        <f t="shared" ref="N10:N22" si="12">J10+L10</f>
        <v>0</v>
      </c>
      <c r="O10" s="196">
        <f t="shared" ref="O10:O22" si="13">M10+K10</f>
        <v>0</v>
      </c>
      <c r="P10" s="53"/>
      <c r="Q10" s="54">
        <f t="shared" si="3"/>
        <v>0</v>
      </c>
      <c r="R10" s="55"/>
      <c r="S10" s="56"/>
      <c r="T10" s="57">
        <f t="shared" ref="T10:T22" si="14">P10+R10</f>
        <v>0</v>
      </c>
      <c r="U10" s="58">
        <f t="shared" ref="U10:U22" si="15">S10+Q10</f>
        <v>0</v>
      </c>
      <c r="V10" s="59"/>
      <c r="W10" s="60">
        <f t="shared" si="0"/>
        <v>0</v>
      </c>
      <c r="X10" s="61"/>
      <c r="Y10" s="62"/>
      <c r="Z10" s="63">
        <f t="shared" ref="Z10:Z22" si="16">V10+X10</f>
        <v>0</v>
      </c>
      <c r="AA10" s="41">
        <f t="shared" ref="AA10:AA22" si="17">Y10+W10</f>
        <v>0</v>
      </c>
      <c r="AB10" s="42">
        <f t="shared" si="4"/>
        <v>0</v>
      </c>
      <c r="AC10" s="188">
        <f t="shared" si="5"/>
        <v>0</v>
      </c>
      <c r="AD10" s="44"/>
      <c r="AE10" s="64"/>
      <c r="AG10" s="218">
        <f t="shared" si="6"/>
        <v>0</v>
      </c>
      <c r="AI10" s="64">
        <f t="shared" si="7"/>
        <v>0</v>
      </c>
      <c r="AK10" s="142">
        <f t="shared" si="8"/>
        <v>0</v>
      </c>
      <c r="AM10" s="142">
        <f t="shared" si="9"/>
        <v>0</v>
      </c>
    </row>
    <row r="11" spans="1:39" x14ac:dyDescent="0.25">
      <c r="B11" s="174">
        <v>6320</v>
      </c>
      <c r="C11" s="153" t="s">
        <v>17</v>
      </c>
      <c r="D11" s="65"/>
      <c r="E11" s="48">
        <f t="shared" si="1"/>
        <v>0</v>
      </c>
      <c r="F11" s="49"/>
      <c r="G11" s="50"/>
      <c r="H11" s="51">
        <f t="shared" si="10"/>
        <v>0</v>
      </c>
      <c r="I11" s="52">
        <f t="shared" si="11"/>
        <v>0</v>
      </c>
      <c r="J11" s="207"/>
      <c r="K11" s="204">
        <f t="shared" si="2"/>
        <v>0</v>
      </c>
      <c r="L11" s="205"/>
      <c r="M11" s="206"/>
      <c r="N11" s="195">
        <f t="shared" si="12"/>
        <v>0</v>
      </c>
      <c r="O11" s="196">
        <f t="shared" si="13"/>
        <v>0</v>
      </c>
      <c r="P11" s="66"/>
      <c r="Q11" s="54">
        <f t="shared" si="3"/>
        <v>0</v>
      </c>
      <c r="R11" s="67">
        <v>6</v>
      </c>
      <c r="S11" s="56">
        <f>6320*6</f>
        <v>37920</v>
      </c>
      <c r="T11" s="57">
        <f t="shared" si="14"/>
        <v>6</v>
      </c>
      <c r="U11" s="58">
        <f t="shared" si="15"/>
        <v>37920</v>
      </c>
      <c r="V11" s="68"/>
      <c r="W11" s="60">
        <f t="shared" si="0"/>
        <v>0</v>
      </c>
      <c r="X11" s="69">
        <v>4</v>
      </c>
      <c r="Y11" s="62">
        <f>6320*4</f>
        <v>25280</v>
      </c>
      <c r="Z11" s="63">
        <f t="shared" si="16"/>
        <v>4</v>
      </c>
      <c r="AA11" s="41">
        <f t="shared" si="17"/>
        <v>25280</v>
      </c>
      <c r="AB11" s="152">
        <f t="shared" si="4"/>
        <v>10</v>
      </c>
      <c r="AC11" s="220">
        <f t="shared" si="5"/>
        <v>63200</v>
      </c>
      <c r="AD11" s="70"/>
      <c r="AE11" s="64"/>
      <c r="AG11" s="218">
        <f t="shared" si="6"/>
        <v>0</v>
      </c>
      <c r="AI11" s="151">
        <f t="shared" si="7"/>
        <v>63200</v>
      </c>
      <c r="AK11" s="142">
        <f t="shared" si="8"/>
        <v>10</v>
      </c>
      <c r="AM11" s="142">
        <f t="shared" si="9"/>
        <v>0</v>
      </c>
    </row>
    <row r="12" spans="1:39" x14ac:dyDescent="0.25">
      <c r="B12" s="174">
        <v>6320</v>
      </c>
      <c r="C12" s="153" t="s">
        <v>18</v>
      </c>
      <c r="D12" s="65"/>
      <c r="E12" s="48">
        <f t="shared" si="1"/>
        <v>0</v>
      </c>
      <c r="F12" s="49"/>
      <c r="G12" s="50"/>
      <c r="H12" s="51">
        <f t="shared" si="10"/>
        <v>0</v>
      </c>
      <c r="I12" s="52">
        <f t="shared" si="11"/>
        <v>0</v>
      </c>
      <c r="J12" s="207"/>
      <c r="K12" s="204">
        <f t="shared" si="2"/>
        <v>0</v>
      </c>
      <c r="L12" s="205">
        <v>1</v>
      </c>
      <c r="M12" s="206">
        <v>6320</v>
      </c>
      <c r="N12" s="195">
        <f t="shared" si="12"/>
        <v>1</v>
      </c>
      <c r="O12" s="196">
        <f t="shared" si="13"/>
        <v>6320</v>
      </c>
      <c r="P12" s="66"/>
      <c r="Q12" s="54">
        <f t="shared" si="3"/>
        <v>0</v>
      </c>
      <c r="R12" s="67">
        <v>8</v>
      </c>
      <c r="S12" s="56">
        <f>6320*8</f>
        <v>50560</v>
      </c>
      <c r="T12" s="57">
        <f t="shared" si="14"/>
        <v>8</v>
      </c>
      <c r="U12" s="58">
        <f t="shared" si="15"/>
        <v>50560</v>
      </c>
      <c r="V12" s="68"/>
      <c r="W12" s="60">
        <f t="shared" si="0"/>
        <v>0</v>
      </c>
      <c r="X12" s="69">
        <v>6</v>
      </c>
      <c r="Y12" s="62">
        <f>6320*6</f>
        <v>37920</v>
      </c>
      <c r="Z12" s="63">
        <f t="shared" si="16"/>
        <v>6</v>
      </c>
      <c r="AA12" s="41">
        <f t="shared" si="17"/>
        <v>37920</v>
      </c>
      <c r="AB12" s="152">
        <f t="shared" si="4"/>
        <v>15</v>
      </c>
      <c r="AC12" s="220">
        <f t="shared" si="5"/>
        <v>94800</v>
      </c>
      <c r="AD12" s="71"/>
      <c r="AE12" s="64"/>
      <c r="AG12" s="218">
        <f t="shared" si="6"/>
        <v>0</v>
      </c>
      <c r="AI12" s="151">
        <f t="shared" si="7"/>
        <v>94800</v>
      </c>
      <c r="AK12" s="142">
        <f t="shared" si="8"/>
        <v>15</v>
      </c>
      <c r="AM12" s="142">
        <f t="shared" si="9"/>
        <v>0</v>
      </c>
    </row>
    <row r="13" spans="1:39" x14ac:dyDescent="0.25">
      <c r="B13" s="174">
        <v>6320</v>
      </c>
      <c r="C13" s="46" t="s">
        <v>19</v>
      </c>
      <c r="D13" s="65"/>
      <c r="E13" s="48">
        <f t="shared" si="1"/>
        <v>0</v>
      </c>
      <c r="F13" s="49"/>
      <c r="G13" s="50"/>
      <c r="H13" s="51">
        <f t="shared" si="10"/>
        <v>0</v>
      </c>
      <c r="I13" s="52">
        <f t="shared" si="11"/>
        <v>0</v>
      </c>
      <c r="J13" s="207"/>
      <c r="K13" s="204">
        <f t="shared" si="2"/>
        <v>0</v>
      </c>
      <c r="L13" s="205"/>
      <c r="M13" s="206"/>
      <c r="N13" s="195">
        <f t="shared" si="12"/>
        <v>0</v>
      </c>
      <c r="O13" s="196">
        <f t="shared" si="13"/>
        <v>0</v>
      </c>
      <c r="P13" s="66"/>
      <c r="Q13" s="54">
        <f t="shared" si="3"/>
        <v>0</v>
      </c>
      <c r="R13" s="67"/>
      <c r="S13" s="56"/>
      <c r="T13" s="57">
        <f t="shared" si="14"/>
        <v>0</v>
      </c>
      <c r="U13" s="58">
        <f t="shared" si="15"/>
        <v>0</v>
      </c>
      <c r="V13" s="68"/>
      <c r="W13" s="60">
        <f t="shared" si="0"/>
        <v>0</v>
      </c>
      <c r="X13" s="69"/>
      <c r="Y13" s="62"/>
      <c r="Z13" s="63">
        <f t="shared" si="16"/>
        <v>0</v>
      </c>
      <c r="AA13" s="41">
        <f t="shared" si="17"/>
        <v>0</v>
      </c>
      <c r="AB13" s="42">
        <f t="shared" si="4"/>
        <v>0</v>
      </c>
      <c r="AC13" s="188">
        <f t="shared" si="5"/>
        <v>0</v>
      </c>
      <c r="AD13" s="70"/>
      <c r="AE13" s="64"/>
      <c r="AG13" s="218">
        <f t="shared" si="6"/>
        <v>0</v>
      </c>
      <c r="AI13" s="64">
        <f t="shared" si="7"/>
        <v>0</v>
      </c>
      <c r="AK13" s="142">
        <f t="shared" si="8"/>
        <v>0</v>
      </c>
      <c r="AM13" s="142">
        <f t="shared" si="9"/>
        <v>0</v>
      </c>
    </row>
    <row r="14" spans="1:39" x14ac:dyDescent="0.25">
      <c r="B14" s="174">
        <v>6320</v>
      </c>
      <c r="C14" s="46" t="s">
        <v>20</v>
      </c>
      <c r="D14" s="65"/>
      <c r="E14" s="48">
        <f t="shared" si="1"/>
        <v>0</v>
      </c>
      <c r="F14" s="49"/>
      <c r="G14" s="50"/>
      <c r="H14" s="51">
        <f t="shared" si="10"/>
        <v>0</v>
      </c>
      <c r="I14" s="52">
        <f t="shared" si="11"/>
        <v>0</v>
      </c>
      <c r="J14" s="207"/>
      <c r="K14" s="204">
        <f t="shared" si="2"/>
        <v>0</v>
      </c>
      <c r="L14" s="205"/>
      <c r="M14" s="206"/>
      <c r="N14" s="195">
        <f t="shared" si="12"/>
        <v>0</v>
      </c>
      <c r="O14" s="196">
        <f t="shared" si="13"/>
        <v>0</v>
      </c>
      <c r="P14" s="66"/>
      <c r="Q14" s="54">
        <f t="shared" si="3"/>
        <v>0</v>
      </c>
      <c r="R14" s="67"/>
      <c r="S14" s="56"/>
      <c r="T14" s="57">
        <f t="shared" si="14"/>
        <v>0</v>
      </c>
      <c r="U14" s="58">
        <f t="shared" si="15"/>
        <v>0</v>
      </c>
      <c r="V14" s="68"/>
      <c r="W14" s="60">
        <f t="shared" si="0"/>
        <v>0</v>
      </c>
      <c r="X14" s="69"/>
      <c r="Y14" s="62"/>
      <c r="Z14" s="63">
        <f t="shared" si="16"/>
        <v>0</v>
      </c>
      <c r="AA14" s="41">
        <f t="shared" si="17"/>
        <v>0</v>
      </c>
      <c r="AB14" s="42">
        <f t="shared" si="4"/>
        <v>0</v>
      </c>
      <c r="AC14" s="188">
        <f t="shared" si="5"/>
        <v>0</v>
      </c>
      <c r="AD14" s="70"/>
      <c r="AE14" s="64"/>
      <c r="AG14" s="218">
        <f t="shared" si="6"/>
        <v>0</v>
      </c>
      <c r="AI14" s="64">
        <f t="shared" si="7"/>
        <v>0</v>
      </c>
      <c r="AK14" s="142">
        <f t="shared" si="8"/>
        <v>0</v>
      </c>
      <c r="AM14" s="142">
        <f t="shared" si="9"/>
        <v>0</v>
      </c>
    </row>
    <row r="15" spans="1:39" x14ac:dyDescent="0.25">
      <c r="B15" s="174">
        <v>6320</v>
      </c>
      <c r="C15" s="153" t="s">
        <v>21</v>
      </c>
      <c r="D15" s="65"/>
      <c r="E15" s="48">
        <f t="shared" si="1"/>
        <v>0</v>
      </c>
      <c r="F15" s="49"/>
      <c r="G15" s="50"/>
      <c r="H15" s="51">
        <f t="shared" si="10"/>
        <v>0</v>
      </c>
      <c r="I15" s="52">
        <f t="shared" si="11"/>
        <v>0</v>
      </c>
      <c r="J15" s="207"/>
      <c r="K15" s="204">
        <f t="shared" si="2"/>
        <v>0</v>
      </c>
      <c r="L15" s="205"/>
      <c r="M15" s="206"/>
      <c r="N15" s="195">
        <f t="shared" si="12"/>
        <v>0</v>
      </c>
      <c r="O15" s="196">
        <f t="shared" si="13"/>
        <v>0</v>
      </c>
      <c r="P15" s="66"/>
      <c r="Q15" s="54">
        <f t="shared" si="3"/>
        <v>0</v>
      </c>
      <c r="R15" s="67">
        <v>5</v>
      </c>
      <c r="S15" s="56">
        <f>6320*5</f>
        <v>31600</v>
      </c>
      <c r="T15" s="57">
        <f t="shared" si="14"/>
        <v>5</v>
      </c>
      <c r="U15" s="58">
        <f t="shared" si="15"/>
        <v>31600</v>
      </c>
      <c r="V15" s="68"/>
      <c r="W15" s="60">
        <f t="shared" si="0"/>
        <v>0</v>
      </c>
      <c r="X15" s="69">
        <v>1</v>
      </c>
      <c r="Y15" s="62">
        <v>6320</v>
      </c>
      <c r="Z15" s="63">
        <f t="shared" si="16"/>
        <v>1</v>
      </c>
      <c r="AA15" s="41">
        <f t="shared" si="17"/>
        <v>6320</v>
      </c>
      <c r="AB15" s="152">
        <f t="shared" si="4"/>
        <v>6</v>
      </c>
      <c r="AC15" s="220">
        <f t="shared" si="5"/>
        <v>37920</v>
      </c>
      <c r="AD15" s="70"/>
      <c r="AE15" s="64"/>
      <c r="AG15" s="218">
        <f t="shared" si="6"/>
        <v>0</v>
      </c>
      <c r="AI15" s="151">
        <f t="shared" si="7"/>
        <v>37920</v>
      </c>
      <c r="AK15" s="142">
        <f t="shared" si="8"/>
        <v>6</v>
      </c>
      <c r="AM15" s="142">
        <f t="shared" si="9"/>
        <v>0</v>
      </c>
    </row>
    <row r="16" spans="1:39" x14ac:dyDescent="0.25">
      <c r="B16" s="174" t="s">
        <v>26</v>
      </c>
      <c r="C16" s="46" t="s">
        <v>33</v>
      </c>
      <c r="D16" s="65"/>
      <c r="E16" s="48">
        <v>0</v>
      </c>
      <c r="F16" s="49"/>
      <c r="G16" s="50"/>
      <c r="H16" s="51">
        <f t="shared" si="10"/>
        <v>0</v>
      </c>
      <c r="I16" s="52">
        <f t="shared" si="11"/>
        <v>0</v>
      </c>
      <c r="J16" s="207"/>
      <c r="K16" s="204">
        <v>0</v>
      </c>
      <c r="L16" s="205"/>
      <c r="M16" s="206"/>
      <c r="N16" s="195">
        <f t="shared" si="12"/>
        <v>0</v>
      </c>
      <c r="O16" s="196">
        <f t="shared" si="13"/>
        <v>0</v>
      </c>
      <c r="P16" s="66"/>
      <c r="Q16" s="54">
        <v>0</v>
      </c>
      <c r="R16" s="67"/>
      <c r="S16" s="56"/>
      <c r="T16" s="57">
        <f t="shared" si="14"/>
        <v>0</v>
      </c>
      <c r="U16" s="58">
        <v>0</v>
      </c>
      <c r="V16" s="68"/>
      <c r="W16" s="60">
        <v>0</v>
      </c>
      <c r="X16" s="69"/>
      <c r="Y16" s="62"/>
      <c r="Z16" s="63">
        <f>+X16+V16</f>
        <v>0</v>
      </c>
      <c r="AA16" s="41">
        <f>+Y16+W16</f>
        <v>0</v>
      </c>
      <c r="AB16" s="42">
        <f t="shared" si="4"/>
        <v>0</v>
      </c>
      <c r="AC16" s="188">
        <f t="shared" si="5"/>
        <v>0</v>
      </c>
      <c r="AD16" s="70"/>
      <c r="AE16" s="64"/>
      <c r="AG16" s="218">
        <f t="shared" si="6"/>
        <v>0</v>
      </c>
      <c r="AI16" s="64">
        <f t="shared" si="7"/>
        <v>0</v>
      </c>
      <c r="AK16" s="142">
        <f t="shared" si="8"/>
        <v>0</v>
      </c>
      <c r="AM16" s="142">
        <f t="shared" si="9"/>
        <v>0</v>
      </c>
    </row>
    <row r="17" spans="2:41" x14ac:dyDescent="0.25">
      <c r="B17" s="175">
        <v>14010</v>
      </c>
      <c r="C17" s="46" t="s">
        <v>23</v>
      </c>
      <c r="D17" s="65"/>
      <c r="E17" s="48">
        <f t="shared" si="1"/>
        <v>0</v>
      </c>
      <c r="F17" s="49"/>
      <c r="G17" s="50"/>
      <c r="H17" s="51">
        <f t="shared" si="10"/>
        <v>0</v>
      </c>
      <c r="I17" s="52">
        <f t="shared" si="11"/>
        <v>0</v>
      </c>
      <c r="J17" s="207"/>
      <c r="K17" s="204">
        <f>+J17*H17</f>
        <v>0</v>
      </c>
      <c r="L17" s="205"/>
      <c r="M17" s="206"/>
      <c r="N17" s="195">
        <f t="shared" si="12"/>
        <v>0</v>
      </c>
      <c r="O17" s="196">
        <f t="shared" si="13"/>
        <v>0</v>
      </c>
      <c r="P17" s="66"/>
      <c r="Q17" s="54">
        <f t="shared" si="3"/>
        <v>0</v>
      </c>
      <c r="R17" s="67"/>
      <c r="S17" s="56"/>
      <c r="T17" s="57">
        <f t="shared" si="14"/>
        <v>0</v>
      </c>
      <c r="U17" s="58">
        <f t="shared" si="15"/>
        <v>0</v>
      </c>
      <c r="V17" s="68"/>
      <c r="W17" s="60">
        <f t="shared" si="0"/>
        <v>0</v>
      </c>
      <c r="X17" s="69"/>
      <c r="Y17" s="62"/>
      <c r="Z17" s="63">
        <f t="shared" si="16"/>
        <v>0</v>
      </c>
      <c r="AA17" s="41">
        <f t="shared" si="17"/>
        <v>0</v>
      </c>
      <c r="AB17" s="42">
        <f t="shared" si="4"/>
        <v>0</v>
      </c>
      <c r="AC17" s="188">
        <f t="shared" si="5"/>
        <v>0</v>
      </c>
      <c r="AD17" s="70"/>
      <c r="AE17" s="64"/>
      <c r="AG17" s="218">
        <f t="shared" si="6"/>
        <v>0</v>
      </c>
      <c r="AI17" s="64">
        <f t="shared" si="7"/>
        <v>0</v>
      </c>
      <c r="AK17" s="142">
        <f t="shared" si="8"/>
        <v>0</v>
      </c>
      <c r="AM17" s="142">
        <f t="shared" si="9"/>
        <v>0</v>
      </c>
    </row>
    <row r="18" spans="2:41" x14ac:dyDescent="0.25">
      <c r="B18" s="174">
        <v>11870</v>
      </c>
      <c r="C18" s="46" t="s">
        <v>24</v>
      </c>
      <c r="D18" s="65"/>
      <c r="E18" s="48">
        <f t="shared" si="1"/>
        <v>0</v>
      </c>
      <c r="F18" s="49"/>
      <c r="G18" s="50"/>
      <c r="H18" s="51">
        <f t="shared" si="10"/>
        <v>0</v>
      </c>
      <c r="I18" s="52">
        <f t="shared" si="11"/>
        <v>0</v>
      </c>
      <c r="J18" s="207"/>
      <c r="K18" s="204">
        <f>+J18*H18</f>
        <v>0</v>
      </c>
      <c r="L18" s="205"/>
      <c r="M18" s="206"/>
      <c r="N18" s="195">
        <f t="shared" si="12"/>
        <v>0</v>
      </c>
      <c r="O18" s="196">
        <f t="shared" si="13"/>
        <v>0</v>
      </c>
      <c r="P18" s="66"/>
      <c r="Q18" s="54">
        <f t="shared" si="3"/>
        <v>0</v>
      </c>
      <c r="R18" s="67"/>
      <c r="S18" s="56"/>
      <c r="T18" s="57">
        <f t="shared" si="14"/>
        <v>0</v>
      </c>
      <c r="U18" s="58">
        <f t="shared" si="15"/>
        <v>0</v>
      </c>
      <c r="V18" s="68"/>
      <c r="W18" s="60">
        <f t="shared" si="0"/>
        <v>0</v>
      </c>
      <c r="X18" s="69"/>
      <c r="Y18" s="62"/>
      <c r="Z18" s="63">
        <f t="shared" si="16"/>
        <v>0</v>
      </c>
      <c r="AA18" s="41">
        <f t="shared" si="17"/>
        <v>0</v>
      </c>
      <c r="AB18" s="42">
        <f t="shared" si="4"/>
        <v>0</v>
      </c>
      <c r="AC18" s="188">
        <f t="shared" si="5"/>
        <v>0</v>
      </c>
      <c r="AD18" s="70"/>
      <c r="AE18" s="64"/>
      <c r="AG18" s="218">
        <f t="shared" si="6"/>
        <v>0</v>
      </c>
      <c r="AI18" s="64">
        <f t="shared" si="7"/>
        <v>0</v>
      </c>
      <c r="AK18" s="142">
        <f t="shared" si="8"/>
        <v>0</v>
      </c>
      <c r="AM18" s="142">
        <f t="shared" si="9"/>
        <v>0</v>
      </c>
    </row>
    <row r="19" spans="2:41" x14ac:dyDescent="0.25">
      <c r="B19" s="174">
        <v>6710</v>
      </c>
      <c r="C19" s="46" t="s">
        <v>0</v>
      </c>
      <c r="D19" s="65"/>
      <c r="E19" s="48">
        <f t="shared" si="1"/>
        <v>0</v>
      </c>
      <c r="F19" s="72"/>
      <c r="G19" s="50"/>
      <c r="H19" s="51">
        <f t="shared" si="10"/>
        <v>0</v>
      </c>
      <c r="I19" s="52">
        <f t="shared" si="11"/>
        <v>0</v>
      </c>
      <c r="J19" s="207"/>
      <c r="K19" s="204">
        <f>+J19*H19</f>
        <v>0</v>
      </c>
      <c r="L19" s="208"/>
      <c r="M19" s="206"/>
      <c r="N19" s="195">
        <f t="shared" si="12"/>
        <v>0</v>
      </c>
      <c r="O19" s="196">
        <f t="shared" si="13"/>
        <v>0</v>
      </c>
      <c r="P19" s="66"/>
      <c r="Q19" s="54">
        <f t="shared" si="3"/>
        <v>0</v>
      </c>
      <c r="R19" s="73"/>
      <c r="S19" s="56"/>
      <c r="T19" s="57">
        <f t="shared" si="14"/>
        <v>0</v>
      </c>
      <c r="U19" s="58">
        <f t="shared" si="15"/>
        <v>0</v>
      </c>
      <c r="V19" s="68"/>
      <c r="W19" s="60">
        <f t="shared" si="0"/>
        <v>0</v>
      </c>
      <c r="X19" s="74"/>
      <c r="Y19" s="62"/>
      <c r="Z19" s="63">
        <f t="shared" si="16"/>
        <v>0</v>
      </c>
      <c r="AA19" s="41">
        <f t="shared" si="17"/>
        <v>0</v>
      </c>
      <c r="AB19" s="42">
        <f t="shared" si="4"/>
        <v>0</v>
      </c>
      <c r="AC19" s="188">
        <f t="shared" si="5"/>
        <v>0</v>
      </c>
      <c r="AD19" s="70"/>
      <c r="AE19" s="64"/>
      <c r="AF19" s="1" t="s">
        <v>25</v>
      </c>
      <c r="AG19" s="218">
        <f t="shared" si="6"/>
        <v>0</v>
      </c>
      <c r="AI19" s="64">
        <f t="shared" si="7"/>
        <v>0</v>
      </c>
      <c r="AK19" s="142">
        <f t="shared" si="8"/>
        <v>0</v>
      </c>
      <c r="AM19" s="142">
        <f t="shared" si="9"/>
        <v>0</v>
      </c>
    </row>
    <row r="20" spans="2:41" x14ac:dyDescent="0.25">
      <c r="B20" s="174" t="s">
        <v>26</v>
      </c>
      <c r="C20" s="46" t="s">
        <v>0</v>
      </c>
      <c r="D20" s="65"/>
      <c r="E20" s="48">
        <v>0</v>
      </c>
      <c r="F20" s="49"/>
      <c r="G20" s="50"/>
      <c r="H20" s="51">
        <f t="shared" si="10"/>
        <v>0</v>
      </c>
      <c r="I20" s="52">
        <f t="shared" si="11"/>
        <v>0</v>
      </c>
      <c r="J20" s="207"/>
      <c r="K20" s="204">
        <v>0</v>
      </c>
      <c r="L20" s="205"/>
      <c r="M20" s="206"/>
      <c r="N20" s="195">
        <f t="shared" si="12"/>
        <v>0</v>
      </c>
      <c r="O20" s="196">
        <f t="shared" si="13"/>
        <v>0</v>
      </c>
      <c r="P20" s="66"/>
      <c r="Q20" s="54">
        <v>0</v>
      </c>
      <c r="R20" s="67"/>
      <c r="S20" s="56"/>
      <c r="T20" s="57">
        <f t="shared" si="14"/>
        <v>0</v>
      </c>
      <c r="U20" s="58">
        <f t="shared" si="15"/>
        <v>0</v>
      </c>
      <c r="V20" s="68"/>
      <c r="W20" s="60">
        <v>0</v>
      </c>
      <c r="X20" s="69"/>
      <c r="Y20" s="62"/>
      <c r="Z20" s="63">
        <f t="shared" si="16"/>
        <v>0</v>
      </c>
      <c r="AA20" s="41">
        <f t="shared" si="17"/>
        <v>0</v>
      </c>
      <c r="AB20" s="42">
        <f t="shared" si="4"/>
        <v>0</v>
      </c>
      <c r="AC20" s="188">
        <f t="shared" si="5"/>
        <v>0</v>
      </c>
      <c r="AD20" s="70"/>
      <c r="AE20" s="64"/>
      <c r="AG20" s="218">
        <f t="shared" si="6"/>
        <v>0</v>
      </c>
      <c r="AI20" s="64">
        <f t="shared" si="7"/>
        <v>0</v>
      </c>
      <c r="AK20" s="142">
        <f t="shared" si="8"/>
        <v>0</v>
      </c>
      <c r="AM20" s="142">
        <f t="shared" si="9"/>
        <v>0</v>
      </c>
    </row>
    <row r="21" spans="2:41" x14ac:dyDescent="0.25">
      <c r="B21" s="174" t="s">
        <v>26</v>
      </c>
      <c r="C21" s="153" t="s">
        <v>28</v>
      </c>
      <c r="D21" s="65"/>
      <c r="E21" s="75">
        <v>0</v>
      </c>
      <c r="F21" s="49"/>
      <c r="G21" s="50"/>
      <c r="H21" s="51">
        <f t="shared" si="10"/>
        <v>0</v>
      </c>
      <c r="I21" s="52">
        <f t="shared" si="11"/>
        <v>0</v>
      </c>
      <c r="J21" s="207"/>
      <c r="K21" s="209">
        <v>0</v>
      </c>
      <c r="L21" s="205">
        <v>2</v>
      </c>
      <c r="M21" s="206">
        <f>24700*2</f>
        <v>49400</v>
      </c>
      <c r="N21" s="195">
        <f t="shared" si="12"/>
        <v>2</v>
      </c>
      <c r="O21" s="196">
        <f t="shared" si="13"/>
        <v>49400</v>
      </c>
      <c r="P21" s="66"/>
      <c r="Q21" s="54">
        <v>0</v>
      </c>
      <c r="R21" s="67">
        <v>3</v>
      </c>
      <c r="S21" s="56">
        <f>13750+24700*2</f>
        <v>63150</v>
      </c>
      <c r="T21" s="57">
        <f t="shared" si="14"/>
        <v>3</v>
      </c>
      <c r="U21" s="58">
        <f t="shared" si="15"/>
        <v>63150</v>
      </c>
      <c r="V21" s="68"/>
      <c r="W21" s="60">
        <v>0</v>
      </c>
      <c r="X21" s="69">
        <v>8</v>
      </c>
      <c r="Y21" s="62">
        <f>13750*3+24700*3+5148+30250</f>
        <v>150748</v>
      </c>
      <c r="Z21" s="63">
        <f t="shared" si="16"/>
        <v>8</v>
      </c>
      <c r="AA21" s="41">
        <f t="shared" si="17"/>
        <v>150748</v>
      </c>
      <c r="AB21" s="152">
        <f t="shared" si="4"/>
        <v>13</v>
      </c>
      <c r="AC21" s="220">
        <f t="shared" si="5"/>
        <v>263298</v>
      </c>
      <c r="AD21" s="70"/>
      <c r="AE21" s="151">
        <v>12012</v>
      </c>
      <c r="AG21" s="218">
        <f t="shared" si="6"/>
        <v>0</v>
      </c>
      <c r="AI21" s="151">
        <f t="shared" si="7"/>
        <v>263298</v>
      </c>
      <c r="AK21" s="142">
        <f t="shared" si="8"/>
        <v>13</v>
      </c>
      <c r="AM21" s="142">
        <f t="shared" si="9"/>
        <v>0</v>
      </c>
    </row>
    <row r="22" spans="2:41" ht="15.75" thickBot="1" x14ac:dyDescent="0.3">
      <c r="B22" s="176" t="s">
        <v>26</v>
      </c>
      <c r="C22" s="155" t="s">
        <v>29</v>
      </c>
      <c r="D22" s="77"/>
      <c r="E22" s="78">
        <v>0</v>
      </c>
      <c r="F22" s="79"/>
      <c r="G22" s="80"/>
      <c r="H22" s="81">
        <f t="shared" si="10"/>
        <v>0</v>
      </c>
      <c r="I22" s="82">
        <f t="shared" si="11"/>
        <v>0</v>
      </c>
      <c r="J22" s="210"/>
      <c r="K22" s="211">
        <v>0</v>
      </c>
      <c r="L22" s="212">
        <v>3</v>
      </c>
      <c r="M22" s="213">
        <f>34580+6430+10860</f>
        <v>51870</v>
      </c>
      <c r="N22" s="197">
        <f t="shared" si="12"/>
        <v>3</v>
      </c>
      <c r="O22" s="198">
        <f t="shared" si="13"/>
        <v>51870</v>
      </c>
      <c r="P22" s="83"/>
      <c r="Q22" s="84">
        <v>0</v>
      </c>
      <c r="R22" s="85">
        <v>2</v>
      </c>
      <c r="S22" s="86">
        <f>12860+42240</f>
        <v>55100</v>
      </c>
      <c r="T22" s="87">
        <f t="shared" si="14"/>
        <v>2</v>
      </c>
      <c r="U22" s="88">
        <f t="shared" si="15"/>
        <v>55100</v>
      </c>
      <c r="V22" s="89"/>
      <c r="W22" s="60">
        <v>0</v>
      </c>
      <c r="X22" s="90">
        <v>3</v>
      </c>
      <c r="Y22" s="91">
        <f>8450+29280+12800</f>
        <v>50530</v>
      </c>
      <c r="Z22" s="92">
        <f t="shared" si="16"/>
        <v>3</v>
      </c>
      <c r="AA22" s="93">
        <f t="shared" si="17"/>
        <v>50530</v>
      </c>
      <c r="AB22" s="152">
        <f t="shared" si="4"/>
        <v>8</v>
      </c>
      <c r="AC22" s="220">
        <f t="shared" si="5"/>
        <v>157500</v>
      </c>
      <c r="AD22" s="70"/>
      <c r="AE22" s="94"/>
      <c r="AG22" s="219">
        <f t="shared" si="6"/>
        <v>0</v>
      </c>
      <c r="AI22" s="154">
        <f t="shared" si="7"/>
        <v>157500</v>
      </c>
      <c r="AK22" s="144">
        <f t="shared" si="8"/>
        <v>8</v>
      </c>
      <c r="AM22" s="144">
        <f t="shared" si="9"/>
        <v>0</v>
      </c>
    </row>
    <row r="23" spans="2:41" ht="15.75" thickBot="1" x14ac:dyDescent="0.3">
      <c r="D23" s="95">
        <f t="shared" ref="D23:I23" si="18">SUM(D8:D22)</f>
        <v>0</v>
      </c>
      <c r="E23" s="96">
        <f t="shared" si="18"/>
        <v>0</v>
      </c>
      <c r="F23" s="95">
        <f t="shared" si="18"/>
        <v>0</v>
      </c>
      <c r="G23" s="97">
        <f t="shared" si="18"/>
        <v>0</v>
      </c>
      <c r="H23" s="98">
        <f t="shared" si="18"/>
        <v>0</v>
      </c>
      <c r="I23" s="99">
        <f t="shared" si="18"/>
        <v>0</v>
      </c>
      <c r="J23" s="214">
        <f t="shared" ref="J23:O23" si="19">SUM(J8:J22)</f>
        <v>0</v>
      </c>
      <c r="K23" s="215">
        <f t="shared" si="19"/>
        <v>0</v>
      </c>
      <c r="L23" s="214">
        <f t="shared" si="19"/>
        <v>11</v>
      </c>
      <c r="M23" s="216">
        <f t="shared" si="19"/>
        <v>134134</v>
      </c>
      <c r="N23" s="217">
        <f t="shared" si="19"/>
        <v>11</v>
      </c>
      <c r="O23" s="99">
        <f t="shared" si="19"/>
        <v>134134</v>
      </c>
      <c r="P23" s="100">
        <f t="shared" ref="P23:AA23" si="20">SUM(P8:P22)</f>
        <v>0</v>
      </c>
      <c r="Q23" s="101">
        <f t="shared" si="20"/>
        <v>0</v>
      </c>
      <c r="R23" s="100">
        <f t="shared" si="20"/>
        <v>29</v>
      </c>
      <c r="S23" s="102">
        <f t="shared" si="20"/>
        <v>269930</v>
      </c>
      <c r="T23" s="103">
        <f t="shared" si="20"/>
        <v>29</v>
      </c>
      <c r="U23" s="104">
        <f t="shared" si="20"/>
        <v>269930</v>
      </c>
      <c r="V23" s="105">
        <f t="shared" si="20"/>
        <v>0</v>
      </c>
      <c r="W23" s="106">
        <f t="shared" si="20"/>
        <v>0</v>
      </c>
      <c r="X23" s="105">
        <f t="shared" si="20"/>
        <v>33</v>
      </c>
      <c r="Y23" s="107">
        <f t="shared" si="20"/>
        <v>340318</v>
      </c>
      <c r="Z23" s="108">
        <f t="shared" si="20"/>
        <v>33</v>
      </c>
      <c r="AA23" s="104">
        <f t="shared" si="20"/>
        <v>340318</v>
      </c>
      <c r="AB23" s="109" t="s">
        <v>9</v>
      </c>
      <c r="AC23" s="43">
        <f>SUM(AC8:AC22)</f>
        <v>744382</v>
      </c>
      <c r="AD23" s="70"/>
      <c r="AE23" s="1">
        <f>SUM(AE8:AE22)</f>
        <v>17068</v>
      </c>
      <c r="AI23" s="110"/>
      <c r="AK23" s="1">
        <f>SUM(AK8:AK22)</f>
        <v>73</v>
      </c>
      <c r="AM23" s="1">
        <f>SUM(AM8:AM22)</f>
        <v>0</v>
      </c>
      <c r="AO23" s="1">
        <f>+AK23+AM23</f>
        <v>73</v>
      </c>
    </row>
    <row r="24" spans="2:41" x14ac:dyDescent="0.25">
      <c r="G24" s="111"/>
      <c r="H24" s="111"/>
      <c r="I24" s="111"/>
      <c r="M24" s="111"/>
      <c r="N24" s="111"/>
      <c r="O24" s="111"/>
      <c r="P24" s="111"/>
      <c r="Q24" s="111"/>
      <c r="R24" s="112">
        <f>X23+F23+R23+L23</f>
        <v>73</v>
      </c>
      <c r="S24" s="113">
        <f>G23+Y23+S23+M23</f>
        <v>744382</v>
      </c>
      <c r="T24" s="111"/>
      <c r="U24" s="111"/>
      <c r="V24" s="111"/>
      <c r="W24" s="111"/>
      <c r="X24" s="111"/>
      <c r="Y24" s="111"/>
      <c r="Z24" s="111"/>
      <c r="AA24" s="111"/>
      <c r="AB24" s="2"/>
      <c r="AC24" s="70">
        <f>AA23+U23+I23+O23</f>
        <v>744382</v>
      </c>
      <c r="AD24" s="2"/>
    </row>
    <row r="25" spans="2:41" x14ac:dyDescent="0.25">
      <c r="D25" s="114" t="s">
        <v>30</v>
      </c>
      <c r="E25" s="114"/>
      <c r="G25" s="114"/>
      <c r="H25" s="114"/>
      <c r="I25" s="114"/>
      <c r="J25" s="114" t="s">
        <v>30</v>
      </c>
      <c r="K25" s="114"/>
      <c r="M25" s="114"/>
      <c r="N25" s="114"/>
      <c r="O25" s="114"/>
      <c r="P25" s="114"/>
      <c r="Q25" s="114"/>
      <c r="R25" s="114"/>
      <c r="S25" s="114"/>
      <c r="T25" s="114"/>
      <c r="U25" s="114"/>
      <c r="AA25" s="2"/>
      <c r="AB25" s="2"/>
      <c r="AC25" s="2"/>
      <c r="AD25" s="2"/>
    </row>
    <row r="26" spans="2:41" x14ac:dyDescent="0.25">
      <c r="D26" s="114"/>
      <c r="E26" s="114"/>
      <c r="J26" s="114"/>
      <c r="K26" s="114"/>
      <c r="P26" s="1"/>
      <c r="Q26" s="1"/>
      <c r="R26" s="1"/>
      <c r="S26" s="1"/>
      <c r="T26" s="1"/>
      <c r="U26" s="1"/>
      <c r="AA26" s="2"/>
      <c r="AB26" s="2"/>
      <c r="AC26" s="2"/>
      <c r="AD26" s="2"/>
    </row>
    <row r="27" spans="2:41" x14ac:dyDescent="0.25">
      <c r="C27" s="115">
        <v>20000</v>
      </c>
      <c r="D27" s="115"/>
      <c r="E27" s="115"/>
      <c r="F27" s="116"/>
      <c r="G27" s="117"/>
      <c r="H27" s="118"/>
      <c r="I27" s="119"/>
      <c r="J27" s="115"/>
      <c r="K27" s="115"/>
      <c r="L27" s="116"/>
      <c r="M27" s="117"/>
      <c r="N27" s="118"/>
      <c r="O27" s="119">
        <v>0</v>
      </c>
      <c r="P27" s="119"/>
      <c r="Q27" s="119"/>
      <c r="R27" s="119"/>
      <c r="S27" s="119"/>
      <c r="T27" s="119"/>
      <c r="U27" s="119">
        <v>160000</v>
      </c>
      <c r="V27" s="119"/>
      <c r="W27" s="119"/>
      <c r="X27" s="120"/>
      <c r="Y27" s="121"/>
      <c r="Z27" s="120"/>
      <c r="AA27" s="119">
        <v>20000</v>
      </c>
      <c r="AB27" s="122"/>
      <c r="AC27" s="122"/>
      <c r="AD27" s="2"/>
      <c r="AE27" s="2"/>
      <c r="AF27" s="2"/>
    </row>
    <row r="28" spans="2:41" x14ac:dyDescent="0.25">
      <c r="C28" s="115">
        <v>10000</v>
      </c>
      <c r="D28" s="115"/>
      <c r="E28" s="115"/>
      <c r="F28" s="116"/>
      <c r="G28" s="117"/>
      <c r="H28" s="118"/>
      <c r="I28" s="119"/>
      <c r="J28" s="115"/>
      <c r="K28" s="115"/>
      <c r="L28" s="116"/>
      <c r="M28" s="117"/>
      <c r="N28" s="118"/>
      <c r="O28" s="119">
        <v>70000</v>
      </c>
      <c r="P28" s="119"/>
      <c r="Q28" s="119"/>
      <c r="R28" s="119"/>
      <c r="S28" s="119"/>
      <c r="T28" s="119"/>
      <c r="U28" s="119">
        <v>100000</v>
      </c>
      <c r="V28" s="119"/>
      <c r="W28" s="119"/>
      <c r="X28" s="120"/>
      <c r="Y28" s="122"/>
      <c r="Z28" s="120"/>
      <c r="AA28" s="119">
        <v>190000</v>
      </c>
      <c r="AB28" s="122"/>
      <c r="AC28" s="122"/>
      <c r="AD28" s="2"/>
      <c r="AE28" s="2"/>
      <c r="AF28" s="2"/>
    </row>
    <row r="29" spans="2:41" x14ac:dyDescent="0.25">
      <c r="C29" s="115">
        <v>5000</v>
      </c>
      <c r="D29" s="115"/>
      <c r="E29" s="115"/>
      <c r="F29" s="116"/>
      <c r="G29" s="117"/>
      <c r="H29" s="118"/>
      <c r="I29" s="119"/>
      <c r="J29" s="115"/>
      <c r="K29" s="115"/>
      <c r="L29" s="116"/>
      <c r="M29" s="117"/>
      <c r="N29" s="118"/>
      <c r="O29" s="119">
        <v>60000</v>
      </c>
      <c r="P29" s="119"/>
      <c r="Q29" s="119"/>
      <c r="R29" s="119"/>
      <c r="S29" s="119"/>
      <c r="T29" s="119"/>
      <c r="U29" s="119">
        <v>5000</v>
      </c>
      <c r="V29" s="119"/>
      <c r="W29" s="119"/>
      <c r="X29" s="120"/>
      <c r="Y29" s="121"/>
      <c r="Z29" s="120"/>
      <c r="AA29" s="119">
        <v>0</v>
      </c>
      <c r="AB29" s="122"/>
      <c r="AC29" s="122"/>
      <c r="AD29" s="2"/>
      <c r="AE29" s="2"/>
      <c r="AF29" s="2"/>
    </row>
    <row r="30" spans="2:41" x14ac:dyDescent="0.25">
      <c r="C30" s="115">
        <v>2000</v>
      </c>
      <c r="D30" s="115"/>
      <c r="E30" s="115"/>
      <c r="F30" s="116"/>
      <c r="G30" s="117"/>
      <c r="H30" s="118"/>
      <c r="I30" s="119"/>
      <c r="J30" s="115"/>
      <c r="K30" s="115"/>
      <c r="L30" s="116"/>
      <c r="M30" s="117"/>
      <c r="N30" s="118"/>
      <c r="O30" s="119">
        <v>2000</v>
      </c>
      <c r="P30" s="119"/>
      <c r="Q30" s="119"/>
      <c r="R30" s="119"/>
      <c r="S30" s="119"/>
      <c r="T30" s="119"/>
      <c r="U30" s="119">
        <v>0</v>
      </c>
      <c r="V30" s="119"/>
      <c r="W30" s="119"/>
      <c r="X30" s="120"/>
      <c r="Y30" s="121"/>
      <c r="Z30" s="120"/>
      <c r="AA30" s="119">
        <v>0</v>
      </c>
      <c r="AB30" s="122"/>
      <c r="AC30" s="122"/>
      <c r="AD30" s="123"/>
    </row>
    <row r="31" spans="2:41" x14ac:dyDescent="0.25">
      <c r="C31" s="115">
        <v>1000</v>
      </c>
      <c r="D31" s="115"/>
      <c r="E31" s="115"/>
      <c r="F31" s="116"/>
      <c r="G31" s="117"/>
      <c r="H31" s="118"/>
      <c r="I31" s="124"/>
      <c r="J31" s="115"/>
      <c r="K31" s="115"/>
      <c r="L31" s="116"/>
      <c r="M31" s="117"/>
      <c r="N31" s="118"/>
      <c r="O31" s="124">
        <v>2000</v>
      </c>
      <c r="P31" s="124"/>
      <c r="Q31" s="124"/>
      <c r="R31" s="124"/>
      <c r="S31" s="124"/>
      <c r="T31" s="124"/>
      <c r="U31" s="124">
        <v>4000</v>
      </c>
      <c r="V31" s="124"/>
      <c r="W31" s="124"/>
      <c r="X31" s="120"/>
      <c r="Y31" s="121"/>
      <c r="Z31" s="120"/>
      <c r="AA31" s="124">
        <v>2000</v>
      </c>
      <c r="AB31" s="122"/>
      <c r="AC31" s="122"/>
      <c r="AD31" s="2"/>
    </row>
    <row r="32" spans="2:41" x14ac:dyDescent="0.25">
      <c r="C32" s="115">
        <v>500</v>
      </c>
      <c r="D32" s="115"/>
      <c r="E32" s="115"/>
      <c r="F32" s="116"/>
      <c r="G32" s="117"/>
      <c r="H32" s="118"/>
      <c r="I32" s="119"/>
      <c r="J32" s="115"/>
      <c r="K32" s="115"/>
      <c r="L32" s="116"/>
      <c r="M32" s="117"/>
      <c r="N32" s="118"/>
      <c r="O32" s="119">
        <v>0</v>
      </c>
      <c r="P32" s="119"/>
      <c r="Q32" s="119"/>
      <c r="R32" s="119"/>
      <c r="S32" s="119"/>
      <c r="T32" s="119"/>
      <c r="U32" s="119">
        <v>500</v>
      </c>
      <c r="V32" s="119"/>
      <c r="W32" s="119"/>
      <c r="X32" s="120"/>
      <c r="Y32" s="121"/>
      <c r="Z32" s="120"/>
      <c r="AA32" s="119">
        <v>500</v>
      </c>
      <c r="AB32" s="121"/>
      <c r="AC32" s="121"/>
      <c r="AD32" s="2"/>
    </row>
    <row r="33" spans="2:33" x14ac:dyDescent="0.25">
      <c r="C33" s="115">
        <v>100</v>
      </c>
      <c r="D33" s="115"/>
      <c r="E33" s="115"/>
      <c r="F33" s="116"/>
      <c r="G33" s="117"/>
      <c r="H33" s="118"/>
      <c r="I33" s="119"/>
      <c r="J33" s="115"/>
      <c r="K33" s="115"/>
      <c r="L33" s="116"/>
      <c r="M33" s="117"/>
      <c r="N33" s="118"/>
      <c r="O33" s="119">
        <v>100</v>
      </c>
      <c r="P33" s="119"/>
      <c r="Q33" s="119"/>
      <c r="R33" s="119"/>
      <c r="S33" s="119"/>
      <c r="T33" s="119"/>
      <c r="U33" s="119">
        <v>400</v>
      </c>
      <c r="V33" s="119"/>
      <c r="W33" s="119"/>
      <c r="X33" s="120"/>
      <c r="Y33" s="121"/>
      <c r="Z33" s="120"/>
      <c r="AA33" s="119">
        <v>100</v>
      </c>
      <c r="AB33" s="121"/>
      <c r="AC33" s="121"/>
      <c r="AD33" s="2"/>
    </row>
    <row r="34" spans="2:33" x14ac:dyDescent="0.25">
      <c r="C34" s="115">
        <v>50</v>
      </c>
      <c r="D34" s="115"/>
      <c r="E34" s="115"/>
      <c r="F34" s="116"/>
      <c r="G34" s="117"/>
      <c r="H34" s="118"/>
      <c r="I34" s="119"/>
      <c r="J34" s="115"/>
      <c r="K34" s="115"/>
      <c r="L34" s="116"/>
      <c r="M34" s="117"/>
      <c r="N34" s="118"/>
      <c r="O34" s="119">
        <v>0</v>
      </c>
      <c r="P34" s="119"/>
      <c r="Q34" s="119"/>
      <c r="R34" s="119"/>
      <c r="S34" s="119"/>
      <c r="T34" s="119"/>
      <c r="U34" s="119">
        <v>0</v>
      </c>
      <c r="V34" s="119"/>
      <c r="W34" s="119"/>
      <c r="X34" s="120"/>
      <c r="Y34" s="121"/>
      <c r="Z34" s="120"/>
      <c r="AA34" s="119">
        <v>50</v>
      </c>
      <c r="AB34" s="121"/>
      <c r="AC34" s="121"/>
      <c r="AD34" s="2"/>
    </row>
    <row r="35" spans="2:33" x14ac:dyDescent="0.25">
      <c r="C35" s="115">
        <v>10</v>
      </c>
      <c r="D35" s="115"/>
      <c r="E35" s="115"/>
      <c r="F35" s="116"/>
      <c r="G35" s="117"/>
      <c r="H35" s="118"/>
      <c r="I35" s="119"/>
      <c r="J35" s="115"/>
      <c r="K35" s="115"/>
      <c r="L35" s="116"/>
      <c r="M35" s="117"/>
      <c r="N35" s="118"/>
      <c r="O35" s="119">
        <v>30</v>
      </c>
      <c r="P35" s="119"/>
      <c r="Q35" s="119"/>
      <c r="R35" s="119"/>
      <c r="S35" s="119"/>
      <c r="T35" s="119"/>
      <c r="U35" s="119">
        <v>30</v>
      </c>
      <c r="V35" s="119"/>
      <c r="W35" s="119"/>
      <c r="X35" s="120"/>
      <c r="Y35" s="121"/>
      <c r="Z35" s="120"/>
      <c r="AA35" s="119">
        <v>0</v>
      </c>
      <c r="AB35" s="121"/>
      <c r="AC35" s="121"/>
      <c r="AD35" s="2"/>
      <c r="AG35" s="1" t="s">
        <v>25</v>
      </c>
    </row>
    <row r="36" spans="2:33" x14ac:dyDescent="0.25">
      <c r="C36" s="1" t="s">
        <v>32</v>
      </c>
      <c r="E36" s="131"/>
      <c r="G36" s="125"/>
      <c r="H36" s="118"/>
      <c r="I36" s="124"/>
      <c r="K36" s="131"/>
      <c r="M36" s="125"/>
      <c r="N36" s="118"/>
      <c r="O36" s="124">
        <v>4</v>
      </c>
      <c r="P36" s="124"/>
      <c r="Q36" s="124"/>
      <c r="R36" s="124"/>
      <c r="S36" s="124"/>
      <c r="T36" s="124"/>
      <c r="U36" s="124"/>
      <c r="V36" s="124"/>
      <c r="W36" s="124"/>
      <c r="X36" s="120"/>
      <c r="Y36" s="124"/>
      <c r="Z36" s="120"/>
      <c r="AA36" s="124">
        <f>127664+4</f>
        <v>127668</v>
      </c>
      <c r="AB36" s="124"/>
      <c r="AC36" s="124"/>
      <c r="AD36" s="2"/>
    </row>
    <row r="37" spans="2:33" s="114" customFormat="1" ht="15.75" x14ac:dyDescent="0.25">
      <c r="F37" s="126"/>
      <c r="G37" s="127"/>
      <c r="I37" s="128">
        <f>SUM(I27:I36)</f>
        <v>0</v>
      </c>
      <c r="L37" s="126"/>
      <c r="M37" s="127"/>
      <c r="O37" s="128">
        <f>SUM(O27:O36)</f>
        <v>134134</v>
      </c>
      <c r="P37" s="116"/>
      <c r="Q37" s="116"/>
      <c r="R37" s="116"/>
      <c r="S37" s="116"/>
      <c r="T37" s="116"/>
      <c r="U37" s="128">
        <f>SUM(U27:U36)</f>
        <v>269930</v>
      </c>
      <c r="V37" s="116"/>
      <c r="W37" s="116"/>
      <c r="X37" s="123"/>
      <c r="Y37" s="116"/>
      <c r="Z37" s="123"/>
      <c r="AA37" s="128">
        <f>SUM(AA27:AA36)</f>
        <v>340318</v>
      </c>
      <c r="AB37" s="129"/>
      <c r="AC37" s="125">
        <f>+I37+U37+AA37+O37</f>
        <v>744382</v>
      </c>
    </row>
    <row r="38" spans="2:33" x14ac:dyDescent="0.25">
      <c r="B38" s="2"/>
      <c r="C38" s="2"/>
      <c r="D38" s="2"/>
      <c r="E38" s="70"/>
      <c r="F38" s="2"/>
      <c r="G38" s="2"/>
      <c r="H38" s="2"/>
      <c r="I38" s="2"/>
      <c r="J38" s="2"/>
      <c r="K38" s="70"/>
      <c r="L38" s="2"/>
      <c r="M38" s="2"/>
      <c r="N38" s="2"/>
      <c r="O38" s="2"/>
      <c r="X38" s="70"/>
      <c r="AA38" s="2"/>
      <c r="AB38" s="130"/>
      <c r="AC38" s="131">
        <f>AC37-AC24</f>
        <v>0</v>
      </c>
    </row>
    <row r="39" spans="2:33" x14ac:dyDescent="0.25">
      <c r="B39" s="2"/>
      <c r="C39" s="2"/>
      <c r="D39" s="2"/>
      <c r="E39" s="70"/>
      <c r="F39" s="2"/>
      <c r="G39" s="2"/>
      <c r="H39" s="2"/>
      <c r="I39" s="129"/>
      <c r="J39" s="2"/>
      <c r="K39" s="70"/>
      <c r="L39" s="2"/>
      <c r="M39" s="2"/>
      <c r="N39" s="2"/>
      <c r="O39" s="129"/>
      <c r="U39" s="129"/>
      <c r="X39" s="70"/>
      <c r="AA39" s="2"/>
      <c r="AB39" s="130"/>
      <c r="AC39" s="131"/>
    </row>
    <row r="40" spans="2:33" x14ac:dyDescent="0.25">
      <c r="E40" s="110"/>
      <c r="Q40" s="133"/>
      <c r="Y40" s="1"/>
      <c r="Z40" s="1"/>
    </row>
    <row r="41" spans="2:33" x14ac:dyDescent="0.25">
      <c r="S41" s="129"/>
      <c r="T41" s="129"/>
      <c r="U41" s="129"/>
      <c r="W41" s="130"/>
    </row>
    <row r="60" spans="9:9" x14ac:dyDescent="0.25">
      <c r="I60" s="1">
        <v>0</v>
      </c>
    </row>
  </sheetData>
  <mergeCells count="11">
    <mergeCell ref="B6:B7"/>
    <mergeCell ref="C6:C7"/>
    <mergeCell ref="D6:I6"/>
    <mergeCell ref="J6:O6"/>
    <mergeCell ref="P6:U6"/>
    <mergeCell ref="AB6:AB7"/>
    <mergeCell ref="AC6:AC7"/>
    <mergeCell ref="AE6:AE7"/>
    <mergeCell ref="Q3:T3"/>
    <mergeCell ref="C4:D4"/>
    <mergeCell ref="V6:AA6"/>
  </mergeCells>
  <pageMargins left="0" right="0" top="0" bottom="0" header="0" footer="0"/>
  <pageSetup paperSize="9" scale="61" orientation="landscape" horizontalDpi="0" verticalDpi="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3">
    <pageSetUpPr fitToPage="1"/>
  </sheetPr>
  <dimension ref="A1:AP41"/>
  <sheetViews>
    <sheetView topLeftCell="A16" zoomScaleNormal="100" workbookViewId="0">
      <pane xSplit="3" topLeftCell="D1" activePane="topRight" state="frozen"/>
      <selection activeCell="G14" sqref="G14"/>
      <selection pane="topRight" activeCell="AF39" sqref="B2:AF39"/>
    </sheetView>
  </sheetViews>
  <sheetFormatPr baseColWidth="10" defaultRowHeight="15" x14ac:dyDescent="0.25"/>
  <cols>
    <col min="1" max="1" width="1.7109375" style="1" customWidth="1"/>
    <col min="2" max="2" width="10" style="1" customWidth="1"/>
    <col min="3" max="3" width="29.140625" style="1" customWidth="1"/>
    <col min="4" max="4" width="5.7109375" style="1" customWidth="1"/>
    <col min="5" max="5" width="10.7109375" style="1" customWidth="1"/>
    <col min="6" max="6" width="5.7109375" style="1" customWidth="1"/>
    <col min="7" max="7" width="10.7109375" style="1" customWidth="1"/>
    <col min="8" max="8" width="5.7109375" style="1" customWidth="1"/>
    <col min="9" max="9" width="10.7109375" style="1" customWidth="1"/>
    <col min="10" max="10" width="5.7109375" style="1" hidden="1" customWidth="1"/>
    <col min="11" max="11" width="10.7109375" style="1" hidden="1" customWidth="1"/>
    <col min="12" max="12" width="5.7109375" style="1" hidden="1" customWidth="1"/>
    <col min="13" max="13" width="10.7109375" style="1" hidden="1" customWidth="1"/>
    <col min="14" max="14" width="5.7109375" style="1" hidden="1" customWidth="1"/>
    <col min="15" max="15" width="10.7109375" style="1" hidden="1" customWidth="1"/>
    <col min="16" max="16" width="5.7109375" style="2" customWidth="1"/>
    <col min="17" max="17" width="10.7109375" style="2" customWidth="1"/>
    <col min="18" max="18" width="5.7109375" style="2" customWidth="1"/>
    <col min="19" max="19" width="10.7109375" style="2" customWidth="1"/>
    <col min="20" max="20" width="5.7109375" style="2" customWidth="1"/>
    <col min="21" max="21" width="10.7109375" style="2" customWidth="1"/>
    <col min="22" max="22" width="5.7109375" style="2" customWidth="1"/>
    <col min="23" max="23" width="10.7109375" style="2" customWidth="1"/>
    <col min="24" max="24" width="5.7109375" style="2" customWidth="1"/>
    <col min="25" max="25" width="10.7109375" style="2" customWidth="1"/>
    <col min="26" max="26" width="5.7109375" style="2" customWidth="1"/>
    <col min="27" max="27" width="10.7109375" style="1" customWidth="1"/>
    <col min="28" max="28" width="9.5703125" style="1" customWidth="1"/>
    <col min="29" max="29" width="14.5703125" style="1" bestFit="1" customWidth="1"/>
    <col min="30" max="30" width="3.28515625" style="1" customWidth="1"/>
    <col min="31" max="31" width="11.42578125" style="1"/>
    <col min="32" max="32" width="3.7109375" style="1" customWidth="1"/>
    <col min="33" max="33" width="10.140625" style="1" customWidth="1"/>
    <col min="34" max="34" width="3.7109375" style="1" customWidth="1"/>
    <col min="35" max="35" width="11.42578125" style="1"/>
    <col min="36" max="36" width="3.7109375" style="1" customWidth="1"/>
    <col min="37" max="37" width="5.7109375" style="1" customWidth="1"/>
    <col min="38" max="38" width="3.7109375" style="1" customWidth="1"/>
    <col min="39" max="39" width="5.7109375" style="1" customWidth="1"/>
    <col min="40" max="40" width="3.7109375" style="1" customWidth="1"/>
    <col min="41" max="41" width="5.7109375" style="1" customWidth="1"/>
    <col min="42" max="16384" width="11.42578125" style="1"/>
  </cols>
  <sheetData>
    <row r="1" spans="1:39" ht="5.25" customHeight="1" x14ac:dyDescent="0.25">
      <c r="Y1" s="1"/>
      <c r="Z1" s="1"/>
    </row>
    <row r="2" spans="1:39" ht="21" x14ac:dyDescent="0.35">
      <c r="B2" s="3" t="s">
        <v>0</v>
      </c>
      <c r="P2" s="1"/>
      <c r="Q2" s="4"/>
      <c r="Z2" s="1"/>
    </row>
    <row r="3" spans="1:39" ht="15" customHeight="1" x14ac:dyDescent="0.25">
      <c r="A3" s="5"/>
      <c r="B3" s="6" t="s">
        <v>1</v>
      </c>
      <c r="C3" s="7"/>
      <c r="D3" s="7"/>
      <c r="E3" s="7"/>
      <c r="F3" s="7"/>
      <c r="P3" s="1"/>
      <c r="Q3" s="353"/>
      <c r="R3" s="353"/>
      <c r="S3" s="353"/>
      <c r="T3" s="353"/>
      <c r="U3" s="158"/>
      <c r="V3" s="158"/>
      <c r="Z3" s="1"/>
    </row>
    <row r="4" spans="1:39" ht="18" customHeight="1" x14ac:dyDescent="0.25">
      <c r="B4" s="159" t="s">
        <v>2</v>
      </c>
      <c r="C4" s="354" t="s">
        <v>60</v>
      </c>
      <c r="D4" s="355"/>
      <c r="E4" s="159"/>
      <c r="F4" s="159"/>
      <c r="P4" s="1"/>
      <c r="Q4" s="9"/>
      <c r="R4" s="10"/>
      <c r="S4" s="9"/>
      <c r="T4" s="9"/>
      <c r="U4" s="9"/>
      <c r="V4" s="9"/>
      <c r="Z4" s="1"/>
    </row>
    <row r="5" spans="1:39" ht="15.75" thickBot="1" x14ac:dyDescent="0.3">
      <c r="A5" s="159"/>
      <c r="B5" s="159"/>
      <c r="C5" s="159"/>
      <c r="D5" s="189"/>
      <c r="E5" s="189"/>
      <c r="J5" s="189"/>
      <c r="K5" s="189"/>
      <c r="P5" s="1"/>
      <c r="Q5" s="1"/>
      <c r="R5" s="1"/>
      <c r="S5" s="1"/>
      <c r="T5" s="1"/>
      <c r="U5" s="1"/>
      <c r="V5" s="9"/>
      <c r="W5" s="9"/>
      <c r="X5" s="9"/>
      <c r="Y5" s="9"/>
      <c r="Z5" s="9"/>
      <c r="AA5" s="9"/>
      <c r="AB5" s="2"/>
      <c r="AC5" s="2"/>
      <c r="AD5" s="2"/>
    </row>
    <row r="6" spans="1:39" ht="27.75" customHeight="1" thickBot="1" x14ac:dyDescent="0.3">
      <c r="B6" s="356" t="s">
        <v>3</v>
      </c>
      <c r="C6" s="343" t="s">
        <v>4</v>
      </c>
      <c r="D6" s="358" t="s">
        <v>36</v>
      </c>
      <c r="E6" s="359"/>
      <c r="F6" s="360"/>
      <c r="G6" s="360"/>
      <c r="H6" s="360"/>
      <c r="I6" s="361"/>
      <c r="J6" s="370" t="s">
        <v>37</v>
      </c>
      <c r="K6" s="371"/>
      <c r="L6" s="372"/>
      <c r="M6" s="372"/>
      <c r="N6" s="372"/>
      <c r="O6" s="373"/>
      <c r="P6" s="362" t="s">
        <v>42</v>
      </c>
      <c r="Q6" s="363"/>
      <c r="R6" s="364"/>
      <c r="S6" s="364"/>
      <c r="T6" s="364"/>
      <c r="U6" s="365"/>
      <c r="V6" s="366" t="s">
        <v>54</v>
      </c>
      <c r="W6" s="367"/>
      <c r="X6" s="368"/>
      <c r="Y6" s="368"/>
      <c r="Z6" s="368"/>
      <c r="AA6" s="369"/>
      <c r="AB6" s="349" t="s">
        <v>5</v>
      </c>
      <c r="AC6" s="349" t="s">
        <v>6</v>
      </c>
      <c r="AD6" s="2"/>
      <c r="AE6" s="351" t="s">
        <v>7</v>
      </c>
      <c r="AF6" s="2"/>
    </row>
    <row r="7" spans="1:39" ht="25.5" customHeight="1" thickBot="1" x14ac:dyDescent="0.3">
      <c r="B7" s="357"/>
      <c r="C7" s="344"/>
      <c r="D7" s="11" t="s">
        <v>8</v>
      </c>
      <c r="E7" s="14" t="s">
        <v>9</v>
      </c>
      <c r="F7" s="13" t="s">
        <v>8</v>
      </c>
      <c r="G7" s="14" t="s">
        <v>9</v>
      </c>
      <c r="H7" s="11" t="s">
        <v>5</v>
      </c>
      <c r="I7" s="14" t="s">
        <v>10</v>
      </c>
      <c r="J7" s="190" t="s">
        <v>8</v>
      </c>
      <c r="K7" s="192" t="s">
        <v>9</v>
      </c>
      <c r="L7" s="191" t="s">
        <v>8</v>
      </c>
      <c r="M7" s="192" t="s">
        <v>9</v>
      </c>
      <c r="N7" s="190" t="s">
        <v>5</v>
      </c>
      <c r="O7" s="192" t="s">
        <v>10</v>
      </c>
      <c r="P7" s="15" t="s">
        <v>8</v>
      </c>
      <c r="Q7" s="16" t="s">
        <v>9</v>
      </c>
      <c r="R7" s="17" t="s">
        <v>8</v>
      </c>
      <c r="S7" s="16" t="s">
        <v>9</v>
      </c>
      <c r="T7" s="15" t="s">
        <v>5</v>
      </c>
      <c r="U7" s="16" t="s">
        <v>10</v>
      </c>
      <c r="V7" s="18" t="s">
        <v>8</v>
      </c>
      <c r="W7" s="19" t="s">
        <v>9</v>
      </c>
      <c r="X7" s="20" t="s">
        <v>8</v>
      </c>
      <c r="Y7" s="21" t="s">
        <v>9</v>
      </c>
      <c r="Z7" s="18" t="s">
        <v>5</v>
      </c>
      <c r="AA7" s="21" t="s">
        <v>10</v>
      </c>
      <c r="AB7" s="350"/>
      <c r="AC7" s="350"/>
      <c r="AD7" s="2"/>
      <c r="AE7" s="352"/>
      <c r="AG7" s="22" t="s">
        <v>11</v>
      </c>
      <c r="AI7" s="22" t="s">
        <v>12</v>
      </c>
    </row>
    <row r="8" spans="1:39" x14ac:dyDescent="0.25">
      <c r="B8" s="173">
        <v>6320</v>
      </c>
      <c r="C8" s="157" t="s">
        <v>13</v>
      </c>
      <c r="D8" s="24"/>
      <c r="E8" s="25">
        <f>+D8*B8</f>
        <v>0</v>
      </c>
      <c r="F8" s="26">
        <v>8</v>
      </c>
      <c r="G8" s="27">
        <f>6320*6+1264+948</f>
        <v>40132</v>
      </c>
      <c r="H8" s="28">
        <f>D8+F8</f>
        <v>8</v>
      </c>
      <c r="I8" s="29">
        <f>E8+G8</f>
        <v>40132</v>
      </c>
      <c r="J8" s="199"/>
      <c r="K8" s="249">
        <f>+J8*B8</f>
        <v>0</v>
      </c>
      <c r="L8" s="222"/>
      <c r="M8" s="202"/>
      <c r="N8" s="193">
        <f>J8+L8</f>
        <v>0</v>
      </c>
      <c r="O8" s="194">
        <f>K8+M8</f>
        <v>0</v>
      </c>
      <c r="P8" s="30"/>
      <c r="Q8" s="178">
        <f>+P8*B8</f>
        <v>0</v>
      </c>
      <c r="R8" s="232">
        <v>4</v>
      </c>
      <c r="S8" s="33">
        <f>6320*4</f>
        <v>25280</v>
      </c>
      <c r="T8" s="34">
        <f>P8+R8</f>
        <v>4</v>
      </c>
      <c r="U8" s="35">
        <f>Q8+S8</f>
        <v>25280</v>
      </c>
      <c r="V8" s="36"/>
      <c r="W8" s="37">
        <f t="shared" ref="W8:W19" si="0">+V8*B8</f>
        <v>0</v>
      </c>
      <c r="X8" s="38">
        <v>17</v>
      </c>
      <c r="Y8" s="39">
        <f>6320*16+4853</f>
        <v>105973</v>
      </c>
      <c r="Z8" s="40">
        <f>V8+X8</f>
        <v>17</v>
      </c>
      <c r="AA8" s="41">
        <f>Y8+W8</f>
        <v>105973</v>
      </c>
      <c r="AB8" s="152">
        <f>+D8+F8+P8+R8+V8+X8+L8+J8</f>
        <v>29</v>
      </c>
      <c r="AC8" s="220">
        <f>+E8+G8+Q8+S8+W8+Y8+K8+M8</f>
        <v>171385</v>
      </c>
      <c r="AD8" s="44"/>
      <c r="AE8" s="156">
        <f>5056+5372+1467</f>
        <v>11895</v>
      </c>
      <c r="AG8" s="187">
        <f>E8+W8+Q8+K8</f>
        <v>0</v>
      </c>
      <c r="AI8" s="156">
        <f>G8+Y8+S8+M8</f>
        <v>171385</v>
      </c>
      <c r="AK8" s="139">
        <f>F8+R8+X8+L8</f>
        <v>29</v>
      </c>
      <c r="AM8" s="139">
        <f>+D8+P8+V8+J8</f>
        <v>0</v>
      </c>
    </row>
    <row r="9" spans="1:39" x14ac:dyDescent="0.25">
      <c r="B9" s="174">
        <v>6320</v>
      </c>
      <c r="C9" s="264" t="s">
        <v>14</v>
      </c>
      <c r="D9" s="47"/>
      <c r="E9" s="48">
        <f t="shared" ref="E9:E19" si="1">+D9*B9</f>
        <v>0</v>
      </c>
      <c r="F9" s="49"/>
      <c r="G9" s="50"/>
      <c r="H9" s="51">
        <f>D9+F9</f>
        <v>0</v>
      </c>
      <c r="I9" s="52">
        <f>G9+E9</f>
        <v>0</v>
      </c>
      <c r="J9" s="203"/>
      <c r="K9" s="248">
        <f t="shared" ref="K9:K19" si="2">+J9*B9</f>
        <v>0</v>
      </c>
      <c r="L9" s="223"/>
      <c r="M9" s="206"/>
      <c r="N9" s="195">
        <f>J9+L9</f>
        <v>0</v>
      </c>
      <c r="O9" s="196">
        <f>M9+K9</f>
        <v>0</v>
      </c>
      <c r="P9" s="53"/>
      <c r="Q9" s="178">
        <f t="shared" ref="Q9:Q19" si="3">+P9*B9</f>
        <v>0</v>
      </c>
      <c r="R9" s="233"/>
      <c r="S9" s="56"/>
      <c r="T9" s="57">
        <f>P9+R9</f>
        <v>0</v>
      </c>
      <c r="U9" s="58">
        <f>S9+Q9</f>
        <v>0</v>
      </c>
      <c r="V9" s="59"/>
      <c r="W9" s="60">
        <f t="shared" si="0"/>
        <v>0</v>
      </c>
      <c r="X9" s="61"/>
      <c r="Y9" s="62"/>
      <c r="Z9" s="63">
        <f>V9+X9</f>
        <v>0</v>
      </c>
      <c r="AA9" s="41">
        <f>Y9+W9</f>
        <v>0</v>
      </c>
      <c r="AB9" s="42">
        <f t="shared" ref="AB9:AB22" si="4">+D9+F9+P9+R9+V9+X9+L9+J9</f>
        <v>0</v>
      </c>
      <c r="AC9" s="266">
        <f t="shared" ref="AC9:AC22" si="5">+E9+G9+Q9+S9+W9+Y9+K9+M9</f>
        <v>0</v>
      </c>
      <c r="AD9" s="44"/>
      <c r="AE9" s="64"/>
      <c r="AG9" s="251">
        <f t="shared" ref="AG9:AG22" si="6">E9+W9+Q9+K9</f>
        <v>0</v>
      </c>
      <c r="AI9" s="64">
        <f t="shared" ref="AI9:AI22" si="7">G9+Y9+S9+M9</f>
        <v>0</v>
      </c>
      <c r="AK9" s="142">
        <f t="shared" ref="AK9:AK22" si="8">F9+R9+X9+L9</f>
        <v>0</v>
      </c>
      <c r="AM9" s="142">
        <f t="shared" ref="AM9:AM22" si="9">+D9+P9+V9+J9</f>
        <v>0</v>
      </c>
    </row>
    <row r="10" spans="1:39" x14ac:dyDescent="0.25">
      <c r="B10" s="174">
        <v>6320</v>
      </c>
      <c r="C10" s="153" t="s">
        <v>16</v>
      </c>
      <c r="D10" s="47"/>
      <c r="E10" s="48">
        <f t="shared" si="1"/>
        <v>0</v>
      </c>
      <c r="F10" s="49"/>
      <c r="G10" s="50"/>
      <c r="H10" s="51">
        <f t="shared" ref="H10:H22" si="10">D10+F10</f>
        <v>0</v>
      </c>
      <c r="I10" s="52">
        <f t="shared" ref="I10:I22" si="11">G10+E10</f>
        <v>0</v>
      </c>
      <c r="J10" s="203"/>
      <c r="K10" s="248">
        <f t="shared" si="2"/>
        <v>0</v>
      </c>
      <c r="L10" s="223"/>
      <c r="M10" s="206"/>
      <c r="N10" s="195">
        <f t="shared" ref="N10:N22" si="12">J10+L10</f>
        <v>0</v>
      </c>
      <c r="O10" s="196">
        <f t="shared" ref="O10:O22" si="13">M10+K10</f>
        <v>0</v>
      </c>
      <c r="P10" s="53"/>
      <c r="Q10" s="178">
        <f t="shared" si="3"/>
        <v>0</v>
      </c>
      <c r="R10" s="233">
        <v>3</v>
      </c>
      <c r="S10" s="56">
        <f>6320*3</f>
        <v>18960</v>
      </c>
      <c r="T10" s="57">
        <f t="shared" ref="T10:T22" si="14">P10+R10</f>
        <v>3</v>
      </c>
      <c r="U10" s="58">
        <f t="shared" ref="U10:U22" si="15">S10+Q10</f>
        <v>18960</v>
      </c>
      <c r="V10" s="59"/>
      <c r="W10" s="60">
        <f t="shared" si="0"/>
        <v>0</v>
      </c>
      <c r="X10" s="61">
        <v>7</v>
      </c>
      <c r="Y10" s="62">
        <f>6320*5+632+2528</f>
        <v>34760</v>
      </c>
      <c r="Z10" s="63">
        <f t="shared" ref="Z10:Z22" si="16">V10+X10</f>
        <v>7</v>
      </c>
      <c r="AA10" s="41">
        <f t="shared" ref="AA10:AA22" si="17">Y10+W10</f>
        <v>34760</v>
      </c>
      <c r="AB10" s="152">
        <f t="shared" si="4"/>
        <v>10</v>
      </c>
      <c r="AC10" s="220">
        <f t="shared" si="5"/>
        <v>53720</v>
      </c>
      <c r="AD10" s="44"/>
      <c r="AE10" s="151">
        <f>3792+5688</f>
        <v>9480</v>
      </c>
      <c r="AG10" s="218">
        <f t="shared" si="6"/>
        <v>0</v>
      </c>
      <c r="AI10" s="151">
        <f t="shared" si="7"/>
        <v>53720</v>
      </c>
      <c r="AK10" s="142">
        <f t="shared" si="8"/>
        <v>10</v>
      </c>
      <c r="AM10" s="142">
        <f t="shared" si="9"/>
        <v>0</v>
      </c>
    </row>
    <row r="11" spans="1:39" x14ac:dyDescent="0.25">
      <c r="B11" s="174">
        <v>6320</v>
      </c>
      <c r="C11" s="153" t="s">
        <v>17</v>
      </c>
      <c r="D11" s="65"/>
      <c r="E11" s="48">
        <f t="shared" si="1"/>
        <v>0</v>
      </c>
      <c r="F11" s="49">
        <v>1</v>
      </c>
      <c r="G11" s="50">
        <v>6320</v>
      </c>
      <c r="H11" s="51">
        <f t="shared" si="10"/>
        <v>1</v>
      </c>
      <c r="I11" s="52">
        <f t="shared" si="11"/>
        <v>6320</v>
      </c>
      <c r="J11" s="207"/>
      <c r="K11" s="248">
        <f t="shared" si="2"/>
        <v>0</v>
      </c>
      <c r="L11" s="223"/>
      <c r="M11" s="206"/>
      <c r="N11" s="195">
        <f t="shared" si="12"/>
        <v>0</v>
      </c>
      <c r="O11" s="196">
        <f t="shared" si="13"/>
        <v>0</v>
      </c>
      <c r="P11" s="66"/>
      <c r="Q11" s="178">
        <f t="shared" si="3"/>
        <v>0</v>
      </c>
      <c r="R11" s="234">
        <v>7</v>
      </c>
      <c r="S11" s="56">
        <f>6320*7</f>
        <v>44240</v>
      </c>
      <c r="T11" s="57">
        <f t="shared" si="14"/>
        <v>7</v>
      </c>
      <c r="U11" s="58">
        <f t="shared" si="15"/>
        <v>44240</v>
      </c>
      <c r="V11" s="68"/>
      <c r="W11" s="60">
        <f t="shared" si="0"/>
        <v>0</v>
      </c>
      <c r="X11" s="69">
        <v>9</v>
      </c>
      <c r="Y11" s="62">
        <f>6320*9</f>
        <v>56880</v>
      </c>
      <c r="Z11" s="63">
        <f t="shared" si="16"/>
        <v>9</v>
      </c>
      <c r="AA11" s="41">
        <f t="shared" si="17"/>
        <v>56880</v>
      </c>
      <c r="AB11" s="152">
        <f t="shared" si="4"/>
        <v>17</v>
      </c>
      <c r="AC11" s="220">
        <f t="shared" si="5"/>
        <v>107440</v>
      </c>
      <c r="AD11" s="70"/>
      <c r="AE11" s="64"/>
      <c r="AG11" s="218">
        <f t="shared" si="6"/>
        <v>0</v>
      </c>
      <c r="AI11" s="151">
        <f t="shared" si="7"/>
        <v>107440</v>
      </c>
      <c r="AK11" s="142">
        <f t="shared" si="8"/>
        <v>17</v>
      </c>
      <c r="AM11" s="142">
        <f t="shared" si="9"/>
        <v>0</v>
      </c>
    </row>
    <row r="12" spans="1:39" x14ac:dyDescent="0.25">
      <c r="B12" s="174">
        <v>6320</v>
      </c>
      <c r="C12" s="46" t="s">
        <v>18</v>
      </c>
      <c r="D12" s="65"/>
      <c r="E12" s="48">
        <f t="shared" si="1"/>
        <v>0</v>
      </c>
      <c r="F12" s="49"/>
      <c r="G12" s="50"/>
      <c r="H12" s="51">
        <f t="shared" si="10"/>
        <v>0</v>
      </c>
      <c r="I12" s="52">
        <f t="shared" si="11"/>
        <v>0</v>
      </c>
      <c r="J12" s="207"/>
      <c r="K12" s="248">
        <f t="shared" si="2"/>
        <v>0</v>
      </c>
      <c r="L12" s="223"/>
      <c r="M12" s="206"/>
      <c r="N12" s="195">
        <f t="shared" si="12"/>
        <v>0</v>
      </c>
      <c r="O12" s="196">
        <f t="shared" si="13"/>
        <v>0</v>
      </c>
      <c r="P12" s="66"/>
      <c r="Q12" s="178">
        <f t="shared" si="3"/>
        <v>0</v>
      </c>
      <c r="R12" s="234"/>
      <c r="S12" s="56"/>
      <c r="T12" s="57">
        <f t="shared" si="14"/>
        <v>0</v>
      </c>
      <c r="U12" s="58">
        <f t="shared" si="15"/>
        <v>0</v>
      </c>
      <c r="V12" s="68"/>
      <c r="W12" s="60">
        <f t="shared" si="0"/>
        <v>0</v>
      </c>
      <c r="X12" s="69"/>
      <c r="Y12" s="62"/>
      <c r="Z12" s="63">
        <f t="shared" si="16"/>
        <v>0</v>
      </c>
      <c r="AA12" s="41">
        <f t="shared" si="17"/>
        <v>0</v>
      </c>
      <c r="AB12" s="42">
        <f t="shared" si="4"/>
        <v>0</v>
      </c>
      <c r="AC12" s="188">
        <f t="shared" si="5"/>
        <v>0</v>
      </c>
      <c r="AD12" s="71"/>
      <c r="AE12" s="64"/>
      <c r="AG12" s="218">
        <f t="shared" si="6"/>
        <v>0</v>
      </c>
      <c r="AI12" s="64">
        <f t="shared" si="7"/>
        <v>0</v>
      </c>
      <c r="AK12" s="142">
        <f t="shared" si="8"/>
        <v>0</v>
      </c>
      <c r="AM12" s="142">
        <f t="shared" si="9"/>
        <v>0</v>
      </c>
    </row>
    <row r="13" spans="1:39" x14ac:dyDescent="0.25">
      <c r="B13" s="174">
        <v>6320</v>
      </c>
      <c r="C13" s="46" t="s">
        <v>19</v>
      </c>
      <c r="D13" s="65"/>
      <c r="E13" s="48">
        <f t="shared" si="1"/>
        <v>0</v>
      </c>
      <c r="F13" s="49"/>
      <c r="G13" s="50"/>
      <c r="H13" s="51">
        <f t="shared" si="10"/>
        <v>0</v>
      </c>
      <c r="I13" s="52">
        <f t="shared" si="11"/>
        <v>0</v>
      </c>
      <c r="J13" s="207"/>
      <c r="K13" s="248">
        <f t="shared" si="2"/>
        <v>0</v>
      </c>
      <c r="L13" s="223"/>
      <c r="M13" s="206"/>
      <c r="N13" s="195">
        <f t="shared" si="12"/>
        <v>0</v>
      </c>
      <c r="O13" s="196">
        <f t="shared" si="13"/>
        <v>0</v>
      </c>
      <c r="P13" s="66"/>
      <c r="Q13" s="178">
        <f t="shared" si="3"/>
        <v>0</v>
      </c>
      <c r="R13" s="234"/>
      <c r="S13" s="56"/>
      <c r="T13" s="57">
        <f t="shared" si="14"/>
        <v>0</v>
      </c>
      <c r="U13" s="58">
        <f t="shared" si="15"/>
        <v>0</v>
      </c>
      <c r="V13" s="68"/>
      <c r="W13" s="60">
        <f t="shared" si="0"/>
        <v>0</v>
      </c>
      <c r="X13" s="69"/>
      <c r="Y13" s="62"/>
      <c r="Z13" s="63">
        <f t="shared" si="16"/>
        <v>0</v>
      </c>
      <c r="AA13" s="41">
        <f t="shared" si="17"/>
        <v>0</v>
      </c>
      <c r="AB13" s="42">
        <f t="shared" si="4"/>
        <v>0</v>
      </c>
      <c r="AC13" s="188">
        <f t="shared" si="5"/>
        <v>0</v>
      </c>
      <c r="AD13" s="70"/>
      <c r="AE13" s="64"/>
      <c r="AG13" s="218">
        <f t="shared" si="6"/>
        <v>0</v>
      </c>
      <c r="AI13" s="64">
        <f t="shared" si="7"/>
        <v>0</v>
      </c>
      <c r="AK13" s="142">
        <f t="shared" si="8"/>
        <v>0</v>
      </c>
      <c r="AM13" s="142">
        <f t="shared" si="9"/>
        <v>0</v>
      </c>
    </row>
    <row r="14" spans="1:39" x14ac:dyDescent="0.25">
      <c r="B14" s="174">
        <v>6320</v>
      </c>
      <c r="C14" s="46" t="s">
        <v>20</v>
      </c>
      <c r="D14" s="65"/>
      <c r="E14" s="48">
        <f t="shared" si="1"/>
        <v>0</v>
      </c>
      <c r="F14" s="49"/>
      <c r="G14" s="50"/>
      <c r="H14" s="51">
        <f t="shared" si="10"/>
        <v>0</v>
      </c>
      <c r="I14" s="52">
        <f t="shared" si="11"/>
        <v>0</v>
      </c>
      <c r="J14" s="207"/>
      <c r="K14" s="248">
        <f t="shared" si="2"/>
        <v>0</v>
      </c>
      <c r="L14" s="223"/>
      <c r="M14" s="206"/>
      <c r="N14" s="195">
        <f t="shared" si="12"/>
        <v>0</v>
      </c>
      <c r="O14" s="196">
        <f t="shared" si="13"/>
        <v>0</v>
      </c>
      <c r="P14" s="66"/>
      <c r="Q14" s="178">
        <f t="shared" si="3"/>
        <v>0</v>
      </c>
      <c r="R14" s="234"/>
      <c r="S14" s="56"/>
      <c r="T14" s="57">
        <f t="shared" si="14"/>
        <v>0</v>
      </c>
      <c r="U14" s="58">
        <f t="shared" si="15"/>
        <v>0</v>
      </c>
      <c r="V14" s="68"/>
      <c r="W14" s="60">
        <f t="shared" si="0"/>
        <v>0</v>
      </c>
      <c r="X14" s="69"/>
      <c r="Y14" s="62"/>
      <c r="Z14" s="63">
        <f t="shared" si="16"/>
        <v>0</v>
      </c>
      <c r="AA14" s="41">
        <f t="shared" si="17"/>
        <v>0</v>
      </c>
      <c r="AB14" s="42">
        <f t="shared" si="4"/>
        <v>0</v>
      </c>
      <c r="AC14" s="188">
        <f t="shared" si="5"/>
        <v>0</v>
      </c>
      <c r="AD14" s="70"/>
      <c r="AE14" s="64"/>
      <c r="AG14" s="218">
        <f t="shared" si="6"/>
        <v>0</v>
      </c>
      <c r="AI14" s="64">
        <f t="shared" si="7"/>
        <v>0</v>
      </c>
      <c r="AK14" s="142">
        <f t="shared" si="8"/>
        <v>0</v>
      </c>
      <c r="AM14" s="142">
        <f t="shared" si="9"/>
        <v>0</v>
      </c>
    </row>
    <row r="15" spans="1:39" x14ac:dyDescent="0.25">
      <c r="B15" s="174">
        <v>6320</v>
      </c>
      <c r="C15" s="46" t="s">
        <v>21</v>
      </c>
      <c r="D15" s="65"/>
      <c r="E15" s="48">
        <f t="shared" si="1"/>
        <v>0</v>
      </c>
      <c r="F15" s="49"/>
      <c r="G15" s="50"/>
      <c r="H15" s="51">
        <f t="shared" si="10"/>
        <v>0</v>
      </c>
      <c r="I15" s="52">
        <f t="shared" si="11"/>
        <v>0</v>
      </c>
      <c r="J15" s="207"/>
      <c r="K15" s="248">
        <f t="shared" si="2"/>
        <v>0</v>
      </c>
      <c r="L15" s="223"/>
      <c r="M15" s="206"/>
      <c r="N15" s="195">
        <f t="shared" si="12"/>
        <v>0</v>
      </c>
      <c r="O15" s="196">
        <f t="shared" si="13"/>
        <v>0</v>
      </c>
      <c r="P15" s="66"/>
      <c r="Q15" s="178">
        <f t="shared" si="3"/>
        <v>0</v>
      </c>
      <c r="R15" s="234"/>
      <c r="S15" s="56"/>
      <c r="T15" s="57">
        <f t="shared" si="14"/>
        <v>0</v>
      </c>
      <c r="U15" s="58">
        <f t="shared" si="15"/>
        <v>0</v>
      </c>
      <c r="V15" s="68"/>
      <c r="W15" s="60">
        <f t="shared" si="0"/>
        <v>0</v>
      </c>
      <c r="X15" s="69"/>
      <c r="Y15" s="62"/>
      <c r="Z15" s="63">
        <f t="shared" si="16"/>
        <v>0</v>
      </c>
      <c r="AA15" s="41">
        <f t="shared" si="17"/>
        <v>0</v>
      </c>
      <c r="AB15" s="42">
        <f t="shared" si="4"/>
        <v>0</v>
      </c>
      <c r="AC15" s="188">
        <f t="shared" si="5"/>
        <v>0</v>
      </c>
      <c r="AD15" s="70"/>
      <c r="AE15" s="64"/>
      <c r="AG15" s="218">
        <f t="shared" si="6"/>
        <v>0</v>
      </c>
      <c r="AI15" s="64">
        <f t="shared" si="7"/>
        <v>0</v>
      </c>
      <c r="AK15" s="142">
        <f t="shared" si="8"/>
        <v>0</v>
      </c>
      <c r="AM15" s="142">
        <f t="shared" si="9"/>
        <v>0</v>
      </c>
    </row>
    <row r="16" spans="1:39" x14ac:dyDescent="0.25">
      <c r="B16" s="174" t="s">
        <v>26</v>
      </c>
      <c r="C16" s="46" t="s">
        <v>33</v>
      </c>
      <c r="D16" s="65"/>
      <c r="E16" s="48">
        <v>0</v>
      </c>
      <c r="F16" s="49"/>
      <c r="G16" s="50"/>
      <c r="H16" s="51">
        <f t="shared" si="10"/>
        <v>0</v>
      </c>
      <c r="I16" s="52">
        <f t="shared" si="11"/>
        <v>0</v>
      </c>
      <c r="J16" s="207"/>
      <c r="K16" s="248">
        <v>0</v>
      </c>
      <c r="L16" s="223"/>
      <c r="M16" s="206"/>
      <c r="N16" s="195">
        <f t="shared" si="12"/>
        <v>0</v>
      </c>
      <c r="O16" s="196">
        <f t="shared" si="13"/>
        <v>0</v>
      </c>
      <c r="P16" s="66"/>
      <c r="Q16" s="178">
        <v>0</v>
      </c>
      <c r="R16" s="234"/>
      <c r="S16" s="56"/>
      <c r="T16" s="57">
        <f t="shared" si="14"/>
        <v>0</v>
      </c>
      <c r="U16" s="58">
        <v>0</v>
      </c>
      <c r="V16" s="68"/>
      <c r="W16" s="60">
        <v>0</v>
      </c>
      <c r="X16" s="69"/>
      <c r="Y16" s="62"/>
      <c r="Z16" s="63">
        <f>+X16+V16</f>
        <v>0</v>
      </c>
      <c r="AA16" s="41">
        <f>+Y16+W16</f>
        <v>0</v>
      </c>
      <c r="AB16" s="42">
        <f t="shared" si="4"/>
        <v>0</v>
      </c>
      <c r="AC16" s="188">
        <f t="shared" si="5"/>
        <v>0</v>
      </c>
      <c r="AD16" s="70"/>
      <c r="AE16" s="64"/>
      <c r="AG16" s="218">
        <f t="shared" si="6"/>
        <v>0</v>
      </c>
      <c r="AI16" s="64">
        <f t="shared" si="7"/>
        <v>0</v>
      </c>
      <c r="AK16" s="142">
        <f t="shared" si="8"/>
        <v>0</v>
      </c>
      <c r="AM16" s="142">
        <f t="shared" si="9"/>
        <v>0</v>
      </c>
    </row>
    <row r="17" spans="2:42" x14ac:dyDescent="0.25">
      <c r="B17" s="175">
        <v>14010</v>
      </c>
      <c r="C17" s="46" t="s">
        <v>23</v>
      </c>
      <c r="D17" s="65"/>
      <c r="E17" s="48">
        <f t="shared" si="1"/>
        <v>0</v>
      </c>
      <c r="F17" s="49"/>
      <c r="G17" s="50"/>
      <c r="H17" s="51">
        <f t="shared" si="10"/>
        <v>0</v>
      </c>
      <c r="I17" s="52">
        <f t="shared" si="11"/>
        <v>0</v>
      </c>
      <c r="J17" s="207"/>
      <c r="K17" s="248">
        <f t="shared" si="2"/>
        <v>0</v>
      </c>
      <c r="L17" s="223"/>
      <c r="M17" s="206"/>
      <c r="N17" s="195">
        <f t="shared" si="12"/>
        <v>0</v>
      </c>
      <c r="O17" s="196">
        <f t="shared" si="13"/>
        <v>0</v>
      </c>
      <c r="P17" s="66"/>
      <c r="Q17" s="178">
        <f t="shared" si="3"/>
        <v>0</v>
      </c>
      <c r="R17" s="234"/>
      <c r="S17" s="56"/>
      <c r="T17" s="57">
        <f t="shared" si="14"/>
        <v>0</v>
      </c>
      <c r="U17" s="58">
        <f t="shared" si="15"/>
        <v>0</v>
      </c>
      <c r="V17" s="68"/>
      <c r="W17" s="60">
        <f t="shared" si="0"/>
        <v>0</v>
      </c>
      <c r="X17" s="69"/>
      <c r="Y17" s="62"/>
      <c r="Z17" s="63">
        <f t="shared" si="16"/>
        <v>0</v>
      </c>
      <c r="AA17" s="41">
        <f t="shared" si="17"/>
        <v>0</v>
      </c>
      <c r="AB17" s="42">
        <f t="shared" si="4"/>
        <v>0</v>
      </c>
      <c r="AC17" s="188">
        <f t="shared" si="5"/>
        <v>0</v>
      </c>
      <c r="AD17" s="70"/>
      <c r="AE17" s="64"/>
      <c r="AG17" s="218">
        <f t="shared" si="6"/>
        <v>0</v>
      </c>
      <c r="AI17" s="64">
        <f t="shared" si="7"/>
        <v>0</v>
      </c>
      <c r="AK17" s="142">
        <f t="shared" si="8"/>
        <v>0</v>
      </c>
      <c r="AM17" s="142">
        <f t="shared" si="9"/>
        <v>0</v>
      </c>
    </row>
    <row r="18" spans="2:42" x14ac:dyDescent="0.25">
      <c r="B18" s="174">
        <v>11870</v>
      </c>
      <c r="C18" s="46" t="s">
        <v>24</v>
      </c>
      <c r="D18" s="65"/>
      <c r="E18" s="48">
        <f t="shared" si="1"/>
        <v>0</v>
      </c>
      <c r="F18" s="49"/>
      <c r="G18" s="50"/>
      <c r="H18" s="51">
        <f t="shared" si="10"/>
        <v>0</v>
      </c>
      <c r="I18" s="52">
        <f t="shared" si="11"/>
        <v>0</v>
      </c>
      <c r="J18" s="207"/>
      <c r="K18" s="248">
        <f t="shared" si="2"/>
        <v>0</v>
      </c>
      <c r="L18" s="223"/>
      <c r="M18" s="206"/>
      <c r="N18" s="195">
        <f t="shared" si="12"/>
        <v>0</v>
      </c>
      <c r="O18" s="196">
        <f t="shared" si="13"/>
        <v>0</v>
      </c>
      <c r="P18" s="66"/>
      <c r="Q18" s="178">
        <f t="shared" si="3"/>
        <v>0</v>
      </c>
      <c r="R18" s="234"/>
      <c r="S18" s="56"/>
      <c r="T18" s="57">
        <f t="shared" si="14"/>
        <v>0</v>
      </c>
      <c r="U18" s="58">
        <f t="shared" si="15"/>
        <v>0</v>
      </c>
      <c r="V18" s="68"/>
      <c r="W18" s="60">
        <f t="shared" si="0"/>
        <v>0</v>
      </c>
      <c r="X18" s="69"/>
      <c r="Y18" s="62"/>
      <c r="Z18" s="63">
        <f t="shared" si="16"/>
        <v>0</v>
      </c>
      <c r="AA18" s="41">
        <f t="shared" si="17"/>
        <v>0</v>
      </c>
      <c r="AB18" s="42">
        <f t="shared" si="4"/>
        <v>0</v>
      </c>
      <c r="AC18" s="188">
        <f t="shared" si="5"/>
        <v>0</v>
      </c>
      <c r="AD18" s="70"/>
      <c r="AE18" s="64"/>
      <c r="AG18" s="218">
        <f t="shared" si="6"/>
        <v>0</v>
      </c>
      <c r="AI18" s="64">
        <f t="shared" si="7"/>
        <v>0</v>
      </c>
      <c r="AK18" s="142">
        <f t="shared" si="8"/>
        <v>0</v>
      </c>
      <c r="AM18" s="142">
        <f t="shared" si="9"/>
        <v>0</v>
      </c>
      <c r="AP18" s="1">
        <v>14</v>
      </c>
    </row>
    <row r="19" spans="2:42" x14ac:dyDescent="0.25">
      <c r="B19" s="174">
        <v>6710</v>
      </c>
      <c r="C19" s="46" t="s">
        <v>0</v>
      </c>
      <c r="D19" s="65"/>
      <c r="E19" s="48">
        <f t="shared" si="1"/>
        <v>0</v>
      </c>
      <c r="F19" s="72"/>
      <c r="G19" s="50"/>
      <c r="H19" s="51">
        <f t="shared" si="10"/>
        <v>0</v>
      </c>
      <c r="I19" s="52">
        <f t="shared" si="11"/>
        <v>0</v>
      </c>
      <c r="J19" s="207"/>
      <c r="K19" s="248">
        <f t="shared" si="2"/>
        <v>0</v>
      </c>
      <c r="L19" s="224"/>
      <c r="M19" s="206"/>
      <c r="N19" s="195">
        <f t="shared" si="12"/>
        <v>0</v>
      </c>
      <c r="O19" s="196">
        <f t="shared" si="13"/>
        <v>0</v>
      </c>
      <c r="P19" s="66"/>
      <c r="Q19" s="178">
        <f t="shared" si="3"/>
        <v>0</v>
      </c>
      <c r="R19" s="235"/>
      <c r="S19" s="56"/>
      <c r="T19" s="57">
        <f t="shared" si="14"/>
        <v>0</v>
      </c>
      <c r="U19" s="58">
        <f t="shared" si="15"/>
        <v>0</v>
      </c>
      <c r="V19" s="68"/>
      <c r="W19" s="60">
        <f t="shared" si="0"/>
        <v>0</v>
      </c>
      <c r="X19" s="74"/>
      <c r="Y19" s="62"/>
      <c r="Z19" s="63">
        <f t="shared" si="16"/>
        <v>0</v>
      </c>
      <c r="AA19" s="41">
        <f t="shared" si="17"/>
        <v>0</v>
      </c>
      <c r="AB19" s="42">
        <f t="shared" si="4"/>
        <v>0</v>
      </c>
      <c r="AC19" s="188">
        <f t="shared" si="5"/>
        <v>0</v>
      </c>
      <c r="AD19" s="70"/>
      <c r="AE19" s="64"/>
      <c r="AF19" s="1" t="s">
        <v>25</v>
      </c>
      <c r="AG19" s="218">
        <f t="shared" si="6"/>
        <v>0</v>
      </c>
      <c r="AI19" s="64">
        <f t="shared" si="7"/>
        <v>0</v>
      </c>
      <c r="AK19" s="142">
        <f t="shared" si="8"/>
        <v>0</v>
      </c>
      <c r="AM19" s="142">
        <f t="shared" si="9"/>
        <v>0</v>
      </c>
    </row>
    <row r="20" spans="2:42" x14ac:dyDescent="0.25">
      <c r="B20" s="174" t="s">
        <v>26</v>
      </c>
      <c r="C20" s="46" t="s">
        <v>0</v>
      </c>
      <c r="D20" s="65"/>
      <c r="E20" s="48">
        <v>0</v>
      </c>
      <c r="F20" s="49"/>
      <c r="G20" s="50"/>
      <c r="H20" s="51">
        <f t="shared" si="10"/>
        <v>0</v>
      </c>
      <c r="I20" s="52">
        <f t="shared" si="11"/>
        <v>0</v>
      </c>
      <c r="J20" s="207"/>
      <c r="K20" s="248">
        <v>0</v>
      </c>
      <c r="L20" s="223"/>
      <c r="M20" s="206"/>
      <c r="N20" s="195">
        <f t="shared" si="12"/>
        <v>0</v>
      </c>
      <c r="O20" s="196">
        <f t="shared" si="13"/>
        <v>0</v>
      </c>
      <c r="P20" s="66"/>
      <c r="Q20" s="178">
        <v>0</v>
      </c>
      <c r="R20" s="234"/>
      <c r="S20" s="56"/>
      <c r="T20" s="57">
        <f t="shared" si="14"/>
        <v>0</v>
      </c>
      <c r="U20" s="58">
        <f t="shared" si="15"/>
        <v>0</v>
      </c>
      <c r="V20" s="68"/>
      <c r="W20" s="60">
        <v>0</v>
      </c>
      <c r="X20" s="69"/>
      <c r="Y20" s="62"/>
      <c r="Z20" s="63">
        <f t="shared" si="16"/>
        <v>0</v>
      </c>
      <c r="AA20" s="41">
        <f t="shared" si="17"/>
        <v>0</v>
      </c>
      <c r="AB20" s="42">
        <f t="shared" si="4"/>
        <v>0</v>
      </c>
      <c r="AC20" s="188">
        <f t="shared" si="5"/>
        <v>0</v>
      </c>
      <c r="AD20" s="70"/>
      <c r="AE20" s="64"/>
      <c r="AG20" s="218">
        <f t="shared" si="6"/>
        <v>0</v>
      </c>
      <c r="AI20" s="64">
        <f t="shared" si="7"/>
        <v>0</v>
      </c>
      <c r="AK20" s="142">
        <f t="shared" si="8"/>
        <v>0</v>
      </c>
      <c r="AM20" s="142">
        <f t="shared" si="9"/>
        <v>0</v>
      </c>
    </row>
    <row r="21" spans="2:42" x14ac:dyDescent="0.25">
      <c r="B21" s="174" t="s">
        <v>26</v>
      </c>
      <c r="C21" s="153" t="s">
        <v>28</v>
      </c>
      <c r="D21" s="65"/>
      <c r="E21" s="75">
        <v>0</v>
      </c>
      <c r="F21" s="49">
        <v>2</v>
      </c>
      <c r="G21" s="50">
        <f>13750*2</f>
        <v>27500</v>
      </c>
      <c r="H21" s="51">
        <f t="shared" si="10"/>
        <v>2</v>
      </c>
      <c r="I21" s="52">
        <f t="shared" si="11"/>
        <v>27500</v>
      </c>
      <c r="J21" s="207"/>
      <c r="K21" s="248">
        <v>0</v>
      </c>
      <c r="L21" s="223"/>
      <c r="M21" s="206"/>
      <c r="N21" s="195">
        <f t="shared" si="12"/>
        <v>0</v>
      </c>
      <c r="O21" s="196">
        <f t="shared" si="13"/>
        <v>0</v>
      </c>
      <c r="P21" s="66"/>
      <c r="Q21" s="178">
        <v>0</v>
      </c>
      <c r="R21" s="234">
        <v>4</v>
      </c>
      <c r="S21" s="56">
        <f>13750*2+17160*2</f>
        <v>61820</v>
      </c>
      <c r="T21" s="57">
        <f t="shared" si="14"/>
        <v>4</v>
      </c>
      <c r="U21" s="58">
        <f t="shared" si="15"/>
        <v>61820</v>
      </c>
      <c r="V21" s="68"/>
      <c r="W21" s="60">
        <v>0</v>
      </c>
      <c r="X21" s="69">
        <v>6</v>
      </c>
      <c r="Y21" s="62">
        <f>13750+3927+13750*2+17160*2</f>
        <v>79497</v>
      </c>
      <c r="Z21" s="63">
        <f t="shared" si="16"/>
        <v>6</v>
      </c>
      <c r="AA21" s="41">
        <f t="shared" si="17"/>
        <v>79497</v>
      </c>
      <c r="AB21" s="152">
        <f t="shared" si="4"/>
        <v>12</v>
      </c>
      <c r="AC21" s="220">
        <f t="shared" si="5"/>
        <v>168817</v>
      </c>
      <c r="AD21" s="70"/>
      <c r="AE21" s="151">
        <v>9163</v>
      </c>
      <c r="AG21" s="218">
        <f t="shared" si="6"/>
        <v>0</v>
      </c>
      <c r="AI21" s="151">
        <f t="shared" si="7"/>
        <v>168817</v>
      </c>
      <c r="AK21" s="142">
        <f t="shared" si="8"/>
        <v>12</v>
      </c>
      <c r="AM21" s="142">
        <f t="shared" si="9"/>
        <v>0</v>
      </c>
    </row>
    <row r="22" spans="2:42" ht="15.75" thickBot="1" x14ac:dyDescent="0.3">
      <c r="B22" s="176" t="s">
        <v>26</v>
      </c>
      <c r="C22" s="155" t="s">
        <v>29</v>
      </c>
      <c r="D22" s="77"/>
      <c r="E22" s="78">
        <v>0</v>
      </c>
      <c r="F22" s="79"/>
      <c r="G22" s="80"/>
      <c r="H22" s="81">
        <f t="shared" si="10"/>
        <v>0</v>
      </c>
      <c r="I22" s="82">
        <f t="shared" si="11"/>
        <v>0</v>
      </c>
      <c r="J22" s="210"/>
      <c r="K22" s="250">
        <v>0</v>
      </c>
      <c r="L22" s="225"/>
      <c r="M22" s="213"/>
      <c r="N22" s="197">
        <f t="shared" si="12"/>
        <v>0</v>
      </c>
      <c r="O22" s="198">
        <f t="shared" si="13"/>
        <v>0</v>
      </c>
      <c r="P22" s="83"/>
      <c r="Q22" s="231">
        <v>0</v>
      </c>
      <c r="R22" s="236">
        <v>2</v>
      </c>
      <c r="S22" s="237">
        <f>25600+12380</f>
        <v>37980</v>
      </c>
      <c r="T22" s="87">
        <f t="shared" si="14"/>
        <v>2</v>
      </c>
      <c r="U22" s="88">
        <f t="shared" si="15"/>
        <v>37980</v>
      </c>
      <c r="V22" s="89"/>
      <c r="W22" s="60">
        <v>0</v>
      </c>
      <c r="X22" s="90">
        <v>2</v>
      </c>
      <c r="Y22" s="91">
        <f>6430+17930</f>
        <v>24360</v>
      </c>
      <c r="Z22" s="92">
        <f t="shared" si="16"/>
        <v>2</v>
      </c>
      <c r="AA22" s="93">
        <f t="shared" si="17"/>
        <v>24360</v>
      </c>
      <c r="AB22" s="152">
        <f t="shared" si="4"/>
        <v>4</v>
      </c>
      <c r="AC22" s="220">
        <f t="shared" si="5"/>
        <v>62340</v>
      </c>
      <c r="AD22" s="70"/>
      <c r="AE22" s="94"/>
      <c r="AG22" s="219">
        <f t="shared" si="6"/>
        <v>0</v>
      </c>
      <c r="AI22" s="154">
        <f t="shared" si="7"/>
        <v>62340</v>
      </c>
      <c r="AK22" s="144">
        <f t="shared" si="8"/>
        <v>4</v>
      </c>
      <c r="AM22" s="144">
        <f t="shared" si="9"/>
        <v>0</v>
      </c>
    </row>
    <row r="23" spans="2:42" ht="15.75" thickBot="1" x14ac:dyDescent="0.3">
      <c r="D23" s="95">
        <f t="shared" ref="D23:I23" si="18">SUM(D8:D22)</f>
        <v>0</v>
      </c>
      <c r="E23" s="96">
        <f t="shared" si="18"/>
        <v>0</v>
      </c>
      <c r="F23" s="95">
        <f t="shared" si="18"/>
        <v>11</v>
      </c>
      <c r="G23" s="97">
        <f t="shared" si="18"/>
        <v>73952</v>
      </c>
      <c r="H23" s="98">
        <f t="shared" si="18"/>
        <v>11</v>
      </c>
      <c r="I23" s="99">
        <f t="shared" si="18"/>
        <v>73952</v>
      </c>
      <c r="J23" s="214">
        <f t="shared" ref="J23:O23" si="19">SUM(J8:J22)</f>
        <v>0</v>
      </c>
      <c r="K23" s="226">
        <f t="shared" si="19"/>
        <v>0</v>
      </c>
      <c r="L23" s="214">
        <f t="shared" si="19"/>
        <v>0</v>
      </c>
      <c r="M23" s="216">
        <f t="shared" si="19"/>
        <v>0</v>
      </c>
      <c r="N23" s="217">
        <f t="shared" si="19"/>
        <v>0</v>
      </c>
      <c r="O23" s="99">
        <f t="shared" si="19"/>
        <v>0</v>
      </c>
      <c r="P23" s="100">
        <f t="shared" ref="P23:AA23" si="20">SUM(P8:P22)</f>
        <v>0</v>
      </c>
      <c r="Q23" s="101">
        <f t="shared" si="20"/>
        <v>0</v>
      </c>
      <c r="R23" s="100">
        <f t="shared" si="20"/>
        <v>20</v>
      </c>
      <c r="S23" s="102">
        <f t="shared" si="20"/>
        <v>188280</v>
      </c>
      <c r="T23" s="103">
        <f t="shared" si="20"/>
        <v>20</v>
      </c>
      <c r="U23" s="104">
        <f t="shared" si="20"/>
        <v>188280</v>
      </c>
      <c r="V23" s="105">
        <f t="shared" si="20"/>
        <v>0</v>
      </c>
      <c r="W23" s="106">
        <f t="shared" si="20"/>
        <v>0</v>
      </c>
      <c r="X23" s="105">
        <f t="shared" si="20"/>
        <v>41</v>
      </c>
      <c r="Y23" s="107">
        <f t="shared" si="20"/>
        <v>301470</v>
      </c>
      <c r="Z23" s="108">
        <f t="shared" si="20"/>
        <v>41</v>
      </c>
      <c r="AA23" s="104">
        <f t="shared" si="20"/>
        <v>301470</v>
      </c>
      <c r="AB23" s="109" t="s">
        <v>9</v>
      </c>
      <c r="AC23" s="43">
        <f>SUM(AC8:AC22)</f>
        <v>563702</v>
      </c>
      <c r="AD23" s="70"/>
      <c r="AE23" s="1">
        <f>SUM(AE8:AE22)</f>
        <v>30538</v>
      </c>
      <c r="AI23" s="110"/>
      <c r="AK23" s="1">
        <f>SUM(AK8:AK22)</f>
        <v>72</v>
      </c>
      <c r="AM23" s="1">
        <f>SUM(AM8:AM22)</f>
        <v>0</v>
      </c>
      <c r="AO23" s="1">
        <f>+AK23+AM23</f>
        <v>72</v>
      </c>
    </row>
    <row r="24" spans="2:42" x14ac:dyDescent="0.25">
      <c r="G24" s="111"/>
      <c r="H24" s="111"/>
      <c r="I24" s="111"/>
      <c r="M24" s="111"/>
      <c r="N24" s="111"/>
      <c r="O24" s="111"/>
      <c r="P24" s="111"/>
      <c r="Q24" s="111"/>
      <c r="R24" s="112">
        <f>X23+F23+R23+L23</f>
        <v>72</v>
      </c>
      <c r="S24" s="113">
        <f>G23+Y23+S23+M23</f>
        <v>563702</v>
      </c>
      <c r="T24" s="111"/>
      <c r="U24" s="111"/>
      <c r="V24" s="111"/>
      <c r="W24" s="111"/>
      <c r="X24" s="111"/>
      <c r="Y24" s="111"/>
      <c r="Z24" s="111"/>
      <c r="AA24" s="111"/>
      <c r="AB24" s="2"/>
      <c r="AC24" s="70">
        <f>AA23+U23+I23+O23</f>
        <v>563702</v>
      </c>
      <c r="AD24" s="2"/>
    </row>
    <row r="25" spans="2:42" x14ac:dyDescent="0.25">
      <c r="D25" s="114" t="s">
        <v>30</v>
      </c>
      <c r="E25" s="114"/>
      <c r="G25" s="114"/>
      <c r="H25" s="114"/>
      <c r="I25" s="114"/>
      <c r="J25" s="114" t="s">
        <v>30</v>
      </c>
      <c r="K25" s="114"/>
      <c r="M25" s="114"/>
      <c r="N25" s="114"/>
      <c r="O25" s="114"/>
      <c r="P25" s="114"/>
      <c r="Q25" s="114"/>
      <c r="R25" s="114"/>
      <c r="S25" s="114"/>
      <c r="T25" s="114"/>
      <c r="U25" s="114"/>
      <c r="AA25" s="2"/>
      <c r="AB25" s="2"/>
      <c r="AC25" s="2"/>
      <c r="AD25" s="2"/>
    </row>
    <row r="26" spans="2:42" x14ac:dyDescent="0.25">
      <c r="D26" s="114"/>
      <c r="E26" s="114"/>
      <c r="J26" s="114"/>
      <c r="K26" s="114"/>
      <c r="P26" s="1"/>
      <c r="Q26" s="1"/>
      <c r="R26" s="1"/>
      <c r="S26" s="1"/>
      <c r="T26" s="1"/>
      <c r="U26" s="1"/>
      <c r="AA26" s="2"/>
      <c r="AB26" s="2"/>
      <c r="AC26" s="2"/>
      <c r="AD26" s="2"/>
    </row>
    <row r="27" spans="2:42" x14ac:dyDescent="0.25">
      <c r="C27" s="115">
        <v>20000</v>
      </c>
      <c r="D27" s="115"/>
      <c r="E27" s="115"/>
      <c r="F27" s="116"/>
      <c r="G27" s="117"/>
      <c r="H27" s="118"/>
      <c r="I27" s="119">
        <v>40000</v>
      </c>
      <c r="J27" s="115"/>
      <c r="K27" s="115"/>
      <c r="L27" s="116"/>
      <c r="M27" s="117"/>
      <c r="N27" s="118"/>
      <c r="O27" s="119"/>
      <c r="P27" s="119"/>
      <c r="Q27" s="119"/>
      <c r="R27" s="119"/>
      <c r="S27" s="119"/>
      <c r="T27" s="119"/>
      <c r="U27" s="119">
        <v>0</v>
      </c>
      <c r="V27" s="119"/>
      <c r="W27" s="119"/>
      <c r="X27" s="120"/>
      <c r="Y27" s="121"/>
      <c r="Z27" s="120"/>
      <c r="AA27" s="119">
        <v>40000</v>
      </c>
      <c r="AB27" s="122"/>
      <c r="AC27" s="122"/>
      <c r="AD27" s="2"/>
      <c r="AE27" s="2"/>
      <c r="AF27" s="2"/>
    </row>
    <row r="28" spans="2:42" x14ac:dyDescent="0.25">
      <c r="C28" s="115">
        <v>10000</v>
      </c>
      <c r="D28" s="115"/>
      <c r="E28" s="115"/>
      <c r="F28" s="116"/>
      <c r="G28" s="117"/>
      <c r="H28" s="118"/>
      <c r="I28" s="119">
        <v>30000</v>
      </c>
      <c r="J28" s="115"/>
      <c r="K28" s="115"/>
      <c r="L28" s="116"/>
      <c r="M28" s="117"/>
      <c r="N28" s="118"/>
      <c r="O28" s="119"/>
      <c r="P28" s="119"/>
      <c r="Q28" s="119"/>
      <c r="R28" s="119"/>
      <c r="S28" s="119"/>
      <c r="T28" s="119"/>
      <c r="U28" s="119">
        <v>120000</v>
      </c>
      <c r="V28" s="119"/>
      <c r="W28" s="119"/>
      <c r="X28" s="120"/>
      <c r="Y28" s="122"/>
      <c r="Z28" s="120"/>
      <c r="AA28" s="119">
        <v>70000</v>
      </c>
      <c r="AB28" s="122"/>
      <c r="AC28" s="122"/>
      <c r="AD28" s="2"/>
      <c r="AE28" s="2"/>
      <c r="AF28" s="2"/>
    </row>
    <row r="29" spans="2:42" x14ac:dyDescent="0.25">
      <c r="C29" s="115">
        <v>5000</v>
      </c>
      <c r="D29" s="115"/>
      <c r="E29" s="115"/>
      <c r="F29" s="116"/>
      <c r="G29" s="117"/>
      <c r="H29" s="118"/>
      <c r="I29" s="119">
        <v>5000</v>
      </c>
      <c r="J29" s="115"/>
      <c r="K29" s="115"/>
      <c r="L29" s="116"/>
      <c r="M29" s="117"/>
      <c r="N29" s="118"/>
      <c r="O29" s="119"/>
      <c r="P29" s="119"/>
      <c r="Q29" s="119"/>
      <c r="R29" s="119"/>
      <c r="S29" s="119"/>
      <c r="T29" s="119"/>
      <c r="U29" s="119">
        <v>5000</v>
      </c>
      <c r="V29" s="119"/>
      <c r="W29" s="119"/>
      <c r="X29" s="120"/>
      <c r="Y29" s="121"/>
      <c r="Z29" s="120"/>
      <c r="AA29" s="119">
        <v>10000</v>
      </c>
      <c r="AB29" s="122"/>
      <c r="AC29" s="122"/>
      <c r="AD29" s="2"/>
      <c r="AE29" s="2"/>
      <c r="AF29" s="2"/>
    </row>
    <row r="30" spans="2:42" x14ac:dyDescent="0.25">
      <c r="C30" s="115">
        <v>2000</v>
      </c>
      <c r="D30" s="115"/>
      <c r="E30" s="115"/>
      <c r="F30" s="116"/>
      <c r="G30" s="117"/>
      <c r="H30" s="118"/>
      <c r="I30" s="119">
        <v>0</v>
      </c>
      <c r="J30" s="115"/>
      <c r="K30" s="115"/>
      <c r="L30" s="116"/>
      <c r="M30" s="117"/>
      <c r="N30" s="118"/>
      <c r="O30" s="119"/>
      <c r="P30" s="119"/>
      <c r="Q30" s="119"/>
      <c r="R30" s="119"/>
      <c r="S30" s="119"/>
      <c r="T30" s="119"/>
      <c r="U30" s="119">
        <v>0</v>
      </c>
      <c r="V30" s="119"/>
      <c r="W30" s="119"/>
      <c r="X30" s="120"/>
      <c r="Y30" s="121"/>
      <c r="Z30" s="120"/>
      <c r="AA30" s="119">
        <v>2000</v>
      </c>
      <c r="AB30" s="122"/>
      <c r="AC30" s="122"/>
      <c r="AD30" s="123"/>
    </row>
    <row r="31" spans="2:42" x14ac:dyDescent="0.25">
      <c r="C31" s="115">
        <v>1000</v>
      </c>
      <c r="D31" s="115"/>
      <c r="E31" s="115"/>
      <c r="F31" s="116"/>
      <c r="G31" s="117"/>
      <c r="H31" s="118"/>
      <c r="I31" s="124">
        <v>0</v>
      </c>
      <c r="J31" s="115"/>
      <c r="K31" s="115"/>
      <c r="L31" s="116"/>
      <c r="M31" s="117"/>
      <c r="N31" s="118"/>
      <c r="O31" s="124"/>
      <c r="P31" s="124"/>
      <c r="Q31" s="124"/>
      <c r="R31" s="124"/>
      <c r="S31" s="124"/>
      <c r="T31" s="124"/>
      <c r="U31" s="124">
        <v>0</v>
      </c>
      <c r="V31" s="124"/>
      <c r="W31" s="124"/>
      <c r="X31" s="120"/>
      <c r="Y31" s="121"/>
      <c r="Z31" s="120"/>
      <c r="AA31" s="124">
        <v>1000</v>
      </c>
      <c r="AB31" s="122"/>
      <c r="AC31" s="122"/>
      <c r="AD31" s="2"/>
    </row>
    <row r="32" spans="2:42" x14ac:dyDescent="0.25">
      <c r="C32" s="115">
        <v>500</v>
      </c>
      <c r="D32" s="115"/>
      <c r="E32" s="115"/>
      <c r="F32" s="116"/>
      <c r="G32" s="117"/>
      <c r="H32" s="118"/>
      <c r="I32" s="119">
        <v>0</v>
      </c>
      <c r="J32" s="115"/>
      <c r="K32" s="115"/>
      <c r="L32" s="116"/>
      <c r="M32" s="117"/>
      <c r="N32" s="118"/>
      <c r="O32" s="119"/>
      <c r="P32" s="119"/>
      <c r="Q32" s="119"/>
      <c r="R32" s="119"/>
      <c r="S32" s="119"/>
      <c r="T32" s="119"/>
      <c r="U32" s="119">
        <v>500</v>
      </c>
      <c r="V32" s="119"/>
      <c r="W32" s="119"/>
      <c r="X32" s="120"/>
      <c r="Y32" s="121"/>
      <c r="Z32" s="120"/>
      <c r="AA32" s="119">
        <v>500</v>
      </c>
      <c r="AB32" s="121"/>
      <c r="AC32" s="121"/>
      <c r="AD32" s="2"/>
    </row>
    <row r="33" spans="2:33" x14ac:dyDescent="0.25">
      <c r="C33" s="115">
        <v>100</v>
      </c>
      <c r="D33" s="115"/>
      <c r="E33" s="115"/>
      <c r="F33" s="116"/>
      <c r="G33" s="117"/>
      <c r="H33" s="118"/>
      <c r="I33" s="119">
        <v>0</v>
      </c>
      <c r="J33" s="115"/>
      <c r="K33" s="115"/>
      <c r="L33" s="116"/>
      <c r="M33" s="117"/>
      <c r="N33" s="118"/>
      <c r="O33" s="119"/>
      <c r="P33" s="119"/>
      <c r="Q33" s="119"/>
      <c r="R33" s="119"/>
      <c r="S33" s="119"/>
      <c r="T33" s="119"/>
      <c r="U33" s="119">
        <v>400</v>
      </c>
      <c r="V33" s="119"/>
      <c r="W33" s="119"/>
      <c r="X33" s="120"/>
      <c r="Y33" s="121"/>
      <c r="Z33" s="120"/>
      <c r="AA33" s="119">
        <v>100</v>
      </c>
      <c r="AB33" s="121"/>
      <c r="AC33" s="121"/>
      <c r="AD33" s="2"/>
    </row>
    <row r="34" spans="2:33" x14ac:dyDescent="0.25">
      <c r="C34" s="115">
        <v>50</v>
      </c>
      <c r="D34" s="115"/>
      <c r="E34" s="115"/>
      <c r="F34" s="116"/>
      <c r="G34" s="117"/>
      <c r="H34" s="118"/>
      <c r="I34" s="119">
        <v>0</v>
      </c>
      <c r="J34" s="115"/>
      <c r="K34" s="115"/>
      <c r="L34" s="116"/>
      <c r="M34" s="117"/>
      <c r="N34" s="118"/>
      <c r="O34" s="119"/>
      <c r="P34" s="119"/>
      <c r="Q34" s="119"/>
      <c r="R34" s="119"/>
      <c r="S34" s="119"/>
      <c r="T34" s="119"/>
      <c r="U34" s="119">
        <v>0</v>
      </c>
      <c r="V34" s="119"/>
      <c r="W34" s="119"/>
      <c r="X34" s="120"/>
      <c r="Y34" s="121"/>
      <c r="Z34" s="120"/>
      <c r="AA34" s="119">
        <v>50</v>
      </c>
      <c r="AB34" s="121"/>
      <c r="AC34" s="121"/>
      <c r="AD34" s="2"/>
    </row>
    <row r="35" spans="2:33" x14ac:dyDescent="0.25">
      <c r="C35" s="115">
        <v>10</v>
      </c>
      <c r="D35" s="115"/>
      <c r="E35" s="115"/>
      <c r="F35" s="116"/>
      <c r="G35" s="117"/>
      <c r="H35" s="118"/>
      <c r="I35" s="119">
        <v>0</v>
      </c>
      <c r="J35" s="115"/>
      <c r="K35" s="115"/>
      <c r="L35" s="116"/>
      <c r="M35" s="117"/>
      <c r="N35" s="118"/>
      <c r="O35" s="119"/>
      <c r="P35" s="119"/>
      <c r="Q35" s="119"/>
      <c r="R35" s="119"/>
      <c r="S35" s="119"/>
      <c r="T35" s="119"/>
      <c r="U35" s="119">
        <v>40</v>
      </c>
      <c r="V35" s="119"/>
      <c r="W35" s="119"/>
      <c r="X35" s="120"/>
      <c r="Y35" s="121"/>
      <c r="Z35" s="120"/>
      <c r="AA35" s="119">
        <v>10</v>
      </c>
      <c r="AB35" s="121"/>
      <c r="AC35" s="121"/>
      <c r="AD35" s="2"/>
      <c r="AG35" s="1" t="s">
        <v>25</v>
      </c>
    </row>
    <row r="36" spans="2:33" x14ac:dyDescent="0.25">
      <c r="C36" s="1" t="s">
        <v>32</v>
      </c>
      <c r="E36" s="131"/>
      <c r="G36" s="125"/>
      <c r="H36" s="118"/>
      <c r="I36" s="124">
        <v>-1048</v>
      </c>
      <c r="K36" s="131"/>
      <c r="M36" s="125"/>
      <c r="N36" s="118"/>
      <c r="O36" s="124"/>
      <c r="P36" s="124"/>
      <c r="Q36" s="124"/>
      <c r="R36" s="124"/>
      <c r="S36" s="124"/>
      <c r="T36" s="124"/>
      <c r="U36" s="124">
        <v>55910</v>
      </c>
      <c r="V36" s="124"/>
      <c r="W36" s="124"/>
      <c r="X36" s="120"/>
      <c r="Y36" s="124"/>
      <c r="Z36" s="120"/>
      <c r="AA36" s="124">
        <f>171385+6430-5</f>
        <v>177810</v>
      </c>
      <c r="AB36" s="124"/>
      <c r="AC36" s="124"/>
      <c r="AD36" s="2"/>
    </row>
    <row r="37" spans="2:33" s="114" customFormat="1" ht="15.75" x14ac:dyDescent="0.25">
      <c r="F37" s="126"/>
      <c r="G37" s="127"/>
      <c r="I37" s="128">
        <f>SUM(I27:I36)</f>
        <v>73952</v>
      </c>
      <c r="L37" s="126"/>
      <c r="M37" s="127"/>
      <c r="O37" s="128">
        <f>SUM(O27:O36)</f>
        <v>0</v>
      </c>
      <c r="P37" s="116"/>
      <c r="Q37" s="116"/>
      <c r="R37" s="116"/>
      <c r="S37" s="116"/>
      <c r="T37" s="116"/>
      <c r="U37" s="267">
        <f>SUM(U27:U36)</f>
        <v>181850</v>
      </c>
      <c r="V37" s="116"/>
      <c r="W37" s="116"/>
      <c r="X37" s="123"/>
      <c r="Y37" s="116"/>
      <c r="Z37" s="123"/>
      <c r="AA37" s="128">
        <f>SUM(AA27:AA36)</f>
        <v>301470</v>
      </c>
      <c r="AB37" s="129"/>
      <c r="AC37" s="125">
        <f>+I37+U39+AA37+O37</f>
        <v>563702</v>
      </c>
    </row>
    <row r="38" spans="2:33" x14ac:dyDescent="0.25">
      <c r="B38" s="2"/>
      <c r="C38" s="2"/>
      <c r="D38" s="2"/>
      <c r="E38" s="70"/>
      <c r="F38" s="2"/>
      <c r="G38" s="2"/>
      <c r="H38" s="2"/>
      <c r="I38" s="2"/>
      <c r="J38" s="2"/>
      <c r="K38" s="70"/>
      <c r="L38" s="2"/>
      <c r="M38" s="2"/>
      <c r="N38" s="2"/>
      <c r="O38" s="2"/>
      <c r="U38" s="2">
        <v>6430</v>
      </c>
      <c r="X38" s="70"/>
      <c r="AA38" s="2"/>
      <c r="AB38" s="130"/>
      <c r="AC38" s="131">
        <f>AC37-AC24</f>
        <v>0</v>
      </c>
    </row>
    <row r="39" spans="2:33" x14ac:dyDescent="0.25">
      <c r="B39" s="2"/>
      <c r="C39" s="2"/>
      <c r="D39" s="2"/>
      <c r="E39" s="70"/>
      <c r="F39" s="2"/>
      <c r="G39" s="2"/>
      <c r="H39" s="2"/>
      <c r="I39" s="129"/>
      <c r="J39" s="2"/>
      <c r="K39" s="70"/>
      <c r="L39" s="2"/>
      <c r="M39" s="2"/>
      <c r="N39" s="2"/>
      <c r="O39" s="129"/>
      <c r="U39" s="308">
        <f>+U37+U38</f>
        <v>188280</v>
      </c>
      <c r="X39" s="70"/>
      <c r="AA39" s="2"/>
      <c r="AB39" s="130"/>
      <c r="AC39" s="131"/>
    </row>
    <row r="40" spans="2:33" x14ac:dyDescent="0.25">
      <c r="E40" s="110"/>
      <c r="Q40" s="133"/>
      <c r="Y40" s="1"/>
      <c r="Z40" s="1"/>
    </row>
    <row r="41" spans="2:33" x14ac:dyDescent="0.25">
      <c r="S41" s="129"/>
      <c r="T41" s="129"/>
      <c r="U41" s="129"/>
      <c r="W41" s="130"/>
    </row>
  </sheetData>
  <mergeCells count="11">
    <mergeCell ref="B6:B7"/>
    <mergeCell ref="C6:C7"/>
    <mergeCell ref="D6:I6"/>
    <mergeCell ref="J6:O6"/>
    <mergeCell ref="P6:U6"/>
    <mergeCell ref="AB6:AB7"/>
    <mergeCell ref="AC6:AC7"/>
    <mergeCell ref="AE6:AE7"/>
    <mergeCell ref="Q3:T3"/>
    <mergeCell ref="C4:D4"/>
    <mergeCell ref="V6:AA6"/>
  </mergeCells>
  <pageMargins left="0.39370078740157483" right="0.39370078740157483" top="0.19685039370078741" bottom="0.19685039370078741" header="0" footer="0"/>
  <pageSetup paperSize="9" scale="60" orientation="landscape" horizontalDpi="0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4">
    <pageSetUpPr fitToPage="1"/>
  </sheetPr>
  <dimension ref="A1:AQ41"/>
  <sheetViews>
    <sheetView topLeftCell="A18" workbookViewId="0">
      <pane xSplit="3" topLeftCell="P1" activePane="topRight" state="frozen"/>
      <selection activeCell="Y34" sqref="Y34"/>
      <selection pane="topRight" activeCell="AH35" sqref="AH35"/>
    </sheetView>
  </sheetViews>
  <sheetFormatPr baseColWidth="10" defaultRowHeight="15" x14ac:dyDescent="0.25"/>
  <cols>
    <col min="1" max="1" width="1.7109375" style="1" customWidth="1"/>
    <col min="2" max="2" width="10" style="1" customWidth="1"/>
    <col min="3" max="3" width="29.140625" style="1" customWidth="1"/>
    <col min="4" max="4" width="5.7109375" style="1" hidden="1" customWidth="1"/>
    <col min="5" max="5" width="10.7109375" style="1" hidden="1" customWidth="1"/>
    <col min="6" max="6" width="5.7109375" style="1" hidden="1" customWidth="1"/>
    <col min="7" max="7" width="10.7109375" style="1" hidden="1" customWidth="1"/>
    <col min="8" max="8" width="5.7109375" style="1" hidden="1" customWidth="1"/>
    <col min="9" max="9" width="10.7109375" style="1" hidden="1" customWidth="1"/>
    <col min="10" max="10" width="5.7109375" style="1" hidden="1" customWidth="1"/>
    <col min="11" max="11" width="10.7109375" style="1" hidden="1" customWidth="1"/>
    <col min="12" max="12" width="5.7109375" style="1" hidden="1" customWidth="1"/>
    <col min="13" max="13" width="10.7109375" style="1" hidden="1" customWidth="1"/>
    <col min="14" max="14" width="5.7109375" style="1" hidden="1" customWidth="1"/>
    <col min="15" max="15" width="10.7109375" style="1" hidden="1" customWidth="1"/>
    <col min="16" max="16" width="5.7109375" style="2" customWidth="1"/>
    <col min="17" max="17" width="10.7109375" style="2" customWidth="1"/>
    <col min="18" max="18" width="5.7109375" style="2" customWidth="1"/>
    <col min="19" max="19" width="10.7109375" style="2" customWidth="1"/>
    <col min="20" max="20" width="5.7109375" style="2" customWidth="1"/>
    <col min="21" max="21" width="10.7109375" style="2" customWidth="1"/>
    <col min="22" max="22" width="5.7109375" style="2" hidden="1" customWidth="1"/>
    <col min="23" max="23" width="10.7109375" style="2" hidden="1" customWidth="1"/>
    <col min="24" max="24" width="5.7109375" style="2" hidden="1" customWidth="1"/>
    <col min="25" max="25" width="10.7109375" style="2" hidden="1" customWidth="1"/>
    <col min="26" max="26" width="5.7109375" style="2" hidden="1" customWidth="1"/>
    <col min="27" max="27" width="10.7109375" style="1" hidden="1" customWidth="1"/>
    <col min="28" max="28" width="9.5703125" style="1" customWidth="1"/>
    <col min="29" max="29" width="14.5703125" style="1" bestFit="1" customWidth="1"/>
    <col min="30" max="30" width="3.28515625" style="1" customWidth="1"/>
    <col min="31" max="31" width="11.42578125" style="1"/>
    <col min="32" max="32" width="3.7109375" style="1" customWidth="1"/>
    <col min="33" max="33" width="10.140625" style="1" customWidth="1"/>
    <col min="34" max="34" width="3.7109375" style="1" customWidth="1"/>
    <col min="35" max="35" width="11.42578125" style="1"/>
    <col min="36" max="36" width="3.7109375" style="1" customWidth="1"/>
    <col min="37" max="37" width="5.7109375" style="1" customWidth="1"/>
    <col min="38" max="38" width="3.7109375" style="1" customWidth="1"/>
    <col min="39" max="39" width="5.7109375" style="1" customWidth="1"/>
    <col min="40" max="40" width="3.7109375" style="1" customWidth="1"/>
    <col min="41" max="41" width="5.7109375" style="1" customWidth="1"/>
    <col min="42" max="16384" width="11.42578125" style="1"/>
  </cols>
  <sheetData>
    <row r="1" spans="1:43" ht="5.25" customHeight="1" x14ac:dyDescent="0.25">
      <c r="Y1" s="1"/>
      <c r="Z1" s="1"/>
    </row>
    <row r="2" spans="1:43" ht="21" x14ac:dyDescent="0.35">
      <c r="B2" s="3" t="s">
        <v>0</v>
      </c>
      <c r="P2" s="1"/>
      <c r="Q2" s="4"/>
      <c r="Z2" s="1"/>
    </row>
    <row r="3" spans="1:43" ht="15" customHeight="1" x14ac:dyDescent="0.25">
      <c r="A3" s="5"/>
      <c r="B3" s="6" t="s">
        <v>1</v>
      </c>
      <c r="C3" s="7"/>
      <c r="D3" s="7"/>
      <c r="E3" s="7"/>
      <c r="F3" s="7"/>
      <c r="P3" s="1"/>
      <c r="Q3" s="353"/>
      <c r="R3" s="353"/>
      <c r="S3" s="353"/>
      <c r="T3" s="353"/>
      <c r="U3" s="246"/>
      <c r="V3" s="246"/>
      <c r="Z3" s="1"/>
    </row>
    <row r="4" spans="1:43" ht="18" customHeight="1" x14ac:dyDescent="0.25">
      <c r="B4" s="247" t="s">
        <v>2</v>
      </c>
      <c r="C4" s="354" t="s">
        <v>61</v>
      </c>
      <c r="D4" s="355"/>
      <c r="E4" s="247"/>
      <c r="F4" s="247"/>
      <c r="P4" s="1"/>
      <c r="Q4" s="9"/>
      <c r="R4" s="10"/>
      <c r="S4" s="9"/>
      <c r="T4" s="9"/>
      <c r="U4" s="9"/>
      <c r="V4" s="9"/>
      <c r="Z4" s="1"/>
    </row>
    <row r="5" spans="1:43" ht="15.75" thickBot="1" x14ac:dyDescent="0.3">
      <c r="A5" s="159"/>
      <c r="B5" s="247"/>
      <c r="C5" s="247"/>
      <c r="D5" s="247"/>
      <c r="E5" s="247"/>
      <c r="J5" s="247"/>
      <c r="K5" s="247"/>
      <c r="P5" s="1"/>
      <c r="Q5" s="1"/>
      <c r="R5" s="1"/>
      <c r="S5" s="1"/>
      <c r="T5" s="1"/>
      <c r="U5" s="1"/>
      <c r="V5" s="9"/>
      <c r="W5" s="9"/>
      <c r="X5" s="9"/>
      <c r="Y5" s="9"/>
      <c r="Z5" s="9"/>
      <c r="AA5" s="9"/>
      <c r="AB5" s="2"/>
      <c r="AC5" s="2"/>
      <c r="AD5" s="2"/>
    </row>
    <row r="6" spans="1:43" ht="27.75" customHeight="1" thickBot="1" x14ac:dyDescent="0.3">
      <c r="B6" s="356" t="s">
        <v>3</v>
      </c>
      <c r="C6" s="343" t="s">
        <v>4</v>
      </c>
      <c r="D6" s="358" t="s">
        <v>47</v>
      </c>
      <c r="E6" s="359"/>
      <c r="F6" s="360"/>
      <c r="G6" s="360"/>
      <c r="H6" s="360"/>
      <c r="I6" s="361"/>
      <c r="J6" s="370" t="s">
        <v>37</v>
      </c>
      <c r="K6" s="371"/>
      <c r="L6" s="372"/>
      <c r="M6" s="372"/>
      <c r="N6" s="372"/>
      <c r="O6" s="373"/>
      <c r="P6" s="362" t="s">
        <v>31</v>
      </c>
      <c r="Q6" s="363"/>
      <c r="R6" s="364"/>
      <c r="S6" s="364"/>
      <c r="T6" s="364"/>
      <c r="U6" s="365"/>
      <c r="V6" s="366" t="s">
        <v>31</v>
      </c>
      <c r="W6" s="367"/>
      <c r="X6" s="368"/>
      <c r="Y6" s="368"/>
      <c r="Z6" s="368"/>
      <c r="AA6" s="369"/>
      <c r="AB6" s="349" t="s">
        <v>5</v>
      </c>
      <c r="AC6" s="349" t="s">
        <v>6</v>
      </c>
      <c r="AD6" s="2"/>
      <c r="AE6" s="351" t="s">
        <v>7</v>
      </c>
      <c r="AF6" s="2"/>
    </row>
    <row r="7" spans="1:43" ht="25.5" customHeight="1" thickBot="1" x14ac:dyDescent="0.3">
      <c r="B7" s="357"/>
      <c r="C7" s="344"/>
      <c r="D7" s="11" t="s">
        <v>8</v>
      </c>
      <c r="E7" s="12" t="s">
        <v>9</v>
      </c>
      <c r="F7" s="13" t="s">
        <v>8</v>
      </c>
      <c r="G7" s="14" t="s">
        <v>9</v>
      </c>
      <c r="H7" s="11" t="s">
        <v>5</v>
      </c>
      <c r="I7" s="14" t="s">
        <v>10</v>
      </c>
      <c r="J7" s="190" t="s">
        <v>8</v>
      </c>
      <c r="K7" s="192" t="s">
        <v>9</v>
      </c>
      <c r="L7" s="191" t="s">
        <v>8</v>
      </c>
      <c r="M7" s="192" t="s">
        <v>9</v>
      </c>
      <c r="N7" s="190" t="s">
        <v>5</v>
      </c>
      <c r="O7" s="192" t="s">
        <v>10</v>
      </c>
      <c r="P7" s="15" t="s">
        <v>8</v>
      </c>
      <c r="Q7" s="16" t="s">
        <v>9</v>
      </c>
      <c r="R7" s="17" t="s">
        <v>8</v>
      </c>
      <c r="S7" s="16" t="s">
        <v>9</v>
      </c>
      <c r="T7" s="15" t="s">
        <v>5</v>
      </c>
      <c r="U7" s="16" t="s">
        <v>10</v>
      </c>
      <c r="V7" s="18" t="s">
        <v>8</v>
      </c>
      <c r="W7" s="19" t="s">
        <v>9</v>
      </c>
      <c r="X7" s="20" t="s">
        <v>8</v>
      </c>
      <c r="Y7" s="21" t="s">
        <v>9</v>
      </c>
      <c r="Z7" s="18" t="s">
        <v>5</v>
      </c>
      <c r="AA7" s="21" t="s">
        <v>10</v>
      </c>
      <c r="AB7" s="350"/>
      <c r="AC7" s="350"/>
      <c r="AD7" s="2"/>
      <c r="AE7" s="352"/>
      <c r="AG7" s="22" t="s">
        <v>11</v>
      </c>
      <c r="AI7" s="22" t="s">
        <v>12</v>
      </c>
    </row>
    <row r="8" spans="1:43" x14ac:dyDescent="0.25">
      <c r="B8" s="173">
        <v>6320</v>
      </c>
      <c r="C8" s="23" t="s">
        <v>13</v>
      </c>
      <c r="D8" s="24"/>
      <c r="E8" s="25">
        <f>+D8*B8</f>
        <v>0</v>
      </c>
      <c r="F8" s="26"/>
      <c r="G8" s="27"/>
      <c r="H8" s="28">
        <f>D8+F8</f>
        <v>0</v>
      </c>
      <c r="I8" s="29">
        <f>E8+G8</f>
        <v>0</v>
      </c>
      <c r="J8" s="199"/>
      <c r="K8" s="249">
        <f>+J8*B8</f>
        <v>0</v>
      </c>
      <c r="L8" s="222"/>
      <c r="M8" s="202"/>
      <c r="N8" s="193">
        <f>J8+L8</f>
        <v>0</v>
      </c>
      <c r="O8" s="194">
        <f>K8+M8</f>
        <v>0</v>
      </c>
      <c r="P8" s="30"/>
      <c r="Q8" s="33">
        <f>+P8*B8</f>
        <v>0</v>
      </c>
      <c r="R8" s="32"/>
      <c r="S8" s="33"/>
      <c r="T8" s="34">
        <f>P8+R8</f>
        <v>0</v>
      </c>
      <c r="U8" s="35">
        <f>Q8+S8</f>
        <v>0</v>
      </c>
      <c r="V8" s="36"/>
      <c r="W8" s="37">
        <f t="shared" ref="W8:W19" si="0">+V8*B8</f>
        <v>0</v>
      </c>
      <c r="X8" s="38"/>
      <c r="Y8" s="39"/>
      <c r="Z8" s="40">
        <f>V8+X8</f>
        <v>0</v>
      </c>
      <c r="AA8" s="41">
        <f>Y8+W8</f>
        <v>0</v>
      </c>
      <c r="AB8" s="42">
        <f t="shared" ref="AB8:AB22" si="1">+D8+F8+P8+R8+V8+X8</f>
        <v>0</v>
      </c>
      <c r="AC8" s="188">
        <f>+E8+G8+Q8+S8+W8+Y8+K8+M8</f>
        <v>0</v>
      </c>
      <c r="AD8" s="44"/>
      <c r="AE8" s="45"/>
      <c r="AG8" s="187">
        <f>E8+W8+Q8+K8</f>
        <v>0</v>
      </c>
      <c r="AI8" s="45">
        <f>G8+Y8+S8+M8</f>
        <v>0</v>
      </c>
      <c r="AK8" s="139">
        <f>F8+R8+X8+L8</f>
        <v>0</v>
      </c>
      <c r="AM8" s="139">
        <f>+D8+P8+V8+J8</f>
        <v>0</v>
      </c>
    </row>
    <row r="9" spans="1:43" x14ac:dyDescent="0.25">
      <c r="B9" s="174">
        <v>6320</v>
      </c>
      <c r="C9" s="180" t="s">
        <v>14</v>
      </c>
      <c r="D9" s="47"/>
      <c r="E9" s="48">
        <f t="shared" ref="E9:E19" si="2">+D9*B9</f>
        <v>0</v>
      </c>
      <c r="F9" s="49"/>
      <c r="G9" s="50"/>
      <c r="H9" s="51">
        <f>D9+F9</f>
        <v>0</v>
      </c>
      <c r="I9" s="52">
        <f>G9+E9</f>
        <v>0</v>
      </c>
      <c r="J9" s="203"/>
      <c r="K9" s="248">
        <f t="shared" ref="K9:K19" si="3">+J9*B9</f>
        <v>0</v>
      </c>
      <c r="L9" s="223"/>
      <c r="M9" s="206"/>
      <c r="N9" s="195">
        <f>J9+L9</f>
        <v>0</v>
      </c>
      <c r="O9" s="196">
        <f>M9+K9</f>
        <v>0</v>
      </c>
      <c r="P9" s="53"/>
      <c r="Q9" s="56">
        <f t="shared" ref="Q9:Q19" si="4">+P9*B9</f>
        <v>0</v>
      </c>
      <c r="R9" s="55">
        <v>1</v>
      </c>
      <c r="S9" s="56">
        <v>6320</v>
      </c>
      <c r="T9" s="57">
        <f>P9+R9</f>
        <v>1</v>
      </c>
      <c r="U9" s="58">
        <f>S9+Q9</f>
        <v>6320</v>
      </c>
      <c r="V9" s="59"/>
      <c r="W9" s="60">
        <f t="shared" si="0"/>
        <v>0</v>
      </c>
      <c r="X9" s="61"/>
      <c r="Y9" s="62"/>
      <c r="Z9" s="63">
        <f>V9+X9</f>
        <v>0</v>
      </c>
      <c r="AA9" s="41">
        <f>Y9+W9</f>
        <v>0</v>
      </c>
      <c r="AB9" s="338">
        <f t="shared" si="1"/>
        <v>1</v>
      </c>
      <c r="AC9" s="339">
        <f t="shared" ref="AC9:AC21" si="5">+E9+G9+Q9+S9+W9+Y9+K9+M9</f>
        <v>6320</v>
      </c>
      <c r="AD9" s="44"/>
      <c r="AE9" s="64"/>
      <c r="AG9" s="251">
        <f t="shared" ref="AG9:AG21" si="6">E9+W9+Q9+K9</f>
        <v>0</v>
      </c>
      <c r="AI9" s="151">
        <f t="shared" ref="AI9:AI22" si="7">G9+Y9+S9+M9</f>
        <v>6320</v>
      </c>
      <c r="AK9" s="142">
        <f t="shared" ref="AK9:AK22" si="8">F9+R9+X9+L9</f>
        <v>1</v>
      </c>
      <c r="AM9" s="142">
        <f t="shared" ref="AM9:AM22" si="9">+D9+P9+V9+J9</f>
        <v>0</v>
      </c>
    </row>
    <row r="10" spans="1:43" x14ac:dyDescent="0.25">
      <c r="B10" s="174">
        <v>6320</v>
      </c>
      <c r="C10" s="46" t="s">
        <v>16</v>
      </c>
      <c r="D10" s="47"/>
      <c r="E10" s="48">
        <f t="shared" si="2"/>
        <v>0</v>
      </c>
      <c r="F10" s="49"/>
      <c r="G10" s="50"/>
      <c r="H10" s="51">
        <f t="shared" ref="H10:H22" si="10">D10+F10</f>
        <v>0</v>
      </c>
      <c r="I10" s="52">
        <f t="shared" ref="I10:I22" si="11">G10+E10</f>
        <v>0</v>
      </c>
      <c r="J10" s="203"/>
      <c r="K10" s="248">
        <f t="shared" si="3"/>
        <v>0</v>
      </c>
      <c r="L10" s="223"/>
      <c r="M10" s="206"/>
      <c r="N10" s="195">
        <f t="shared" ref="N10:N22" si="12">J10+L10</f>
        <v>0</v>
      </c>
      <c r="O10" s="196">
        <f t="shared" ref="O10:O22" si="13">M10+K10</f>
        <v>0</v>
      </c>
      <c r="P10" s="53"/>
      <c r="Q10" s="56">
        <f t="shared" si="4"/>
        <v>0</v>
      </c>
      <c r="R10" s="55"/>
      <c r="S10" s="56"/>
      <c r="T10" s="57">
        <f t="shared" ref="T10:T22" si="14">P10+R10</f>
        <v>0</v>
      </c>
      <c r="U10" s="58">
        <f t="shared" ref="U10:U21" si="15">S10+Q10</f>
        <v>0</v>
      </c>
      <c r="V10" s="59"/>
      <c r="W10" s="60">
        <f t="shared" si="0"/>
        <v>0</v>
      </c>
      <c r="X10" s="61"/>
      <c r="Y10" s="62"/>
      <c r="Z10" s="63">
        <f t="shared" ref="Z10:Z22" si="16">V10+X10</f>
        <v>0</v>
      </c>
      <c r="AA10" s="41">
        <f t="shared" ref="AA10:AA22" si="17">Y10+W10</f>
        <v>0</v>
      </c>
      <c r="AB10" s="42">
        <f t="shared" si="1"/>
        <v>0</v>
      </c>
      <c r="AC10" s="188">
        <f t="shared" si="5"/>
        <v>0</v>
      </c>
      <c r="AD10" s="44"/>
      <c r="AE10" s="64"/>
      <c r="AG10" s="218">
        <f t="shared" si="6"/>
        <v>0</v>
      </c>
      <c r="AI10" s="64">
        <f t="shared" si="7"/>
        <v>0</v>
      </c>
      <c r="AK10" s="142">
        <f t="shared" si="8"/>
        <v>0</v>
      </c>
      <c r="AM10" s="142">
        <f t="shared" si="9"/>
        <v>0</v>
      </c>
    </row>
    <row r="11" spans="1:43" x14ac:dyDescent="0.25">
      <c r="B11" s="174">
        <v>6320</v>
      </c>
      <c r="C11" s="153" t="s">
        <v>17</v>
      </c>
      <c r="D11" s="65"/>
      <c r="E11" s="48">
        <f t="shared" si="2"/>
        <v>0</v>
      </c>
      <c r="F11" s="49"/>
      <c r="G11" s="50"/>
      <c r="H11" s="51">
        <f t="shared" si="10"/>
        <v>0</v>
      </c>
      <c r="I11" s="52">
        <f t="shared" si="11"/>
        <v>0</v>
      </c>
      <c r="J11" s="207"/>
      <c r="K11" s="248">
        <f t="shared" si="3"/>
        <v>0</v>
      </c>
      <c r="L11" s="223"/>
      <c r="M11" s="206"/>
      <c r="N11" s="195">
        <f t="shared" si="12"/>
        <v>0</v>
      </c>
      <c r="O11" s="196">
        <f t="shared" si="13"/>
        <v>0</v>
      </c>
      <c r="P11" s="66"/>
      <c r="Q11" s="56">
        <f t="shared" si="4"/>
        <v>0</v>
      </c>
      <c r="R11" s="67">
        <v>13</v>
      </c>
      <c r="S11" s="56">
        <f>6320*13</f>
        <v>82160</v>
      </c>
      <c r="T11" s="57">
        <f t="shared" si="14"/>
        <v>13</v>
      </c>
      <c r="U11" s="58">
        <f t="shared" si="15"/>
        <v>82160</v>
      </c>
      <c r="V11" s="68"/>
      <c r="W11" s="60">
        <f t="shared" si="0"/>
        <v>0</v>
      </c>
      <c r="X11" s="69"/>
      <c r="Y11" s="62"/>
      <c r="Z11" s="63">
        <f t="shared" si="16"/>
        <v>0</v>
      </c>
      <c r="AA11" s="41">
        <f t="shared" si="17"/>
        <v>0</v>
      </c>
      <c r="AB11" s="152">
        <f t="shared" si="1"/>
        <v>13</v>
      </c>
      <c r="AC11" s="220">
        <f t="shared" si="5"/>
        <v>82160</v>
      </c>
      <c r="AD11" s="70"/>
      <c r="AE11" s="64"/>
      <c r="AG11" s="218">
        <f t="shared" si="6"/>
        <v>0</v>
      </c>
      <c r="AI11" s="151">
        <f t="shared" si="7"/>
        <v>82160</v>
      </c>
      <c r="AK11" s="142">
        <f t="shared" si="8"/>
        <v>13</v>
      </c>
      <c r="AM11" s="142">
        <f t="shared" si="9"/>
        <v>0</v>
      </c>
    </row>
    <row r="12" spans="1:43" x14ac:dyDescent="0.25">
      <c r="B12" s="174">
        <v>6320</v>
      </c>
      <c r="C12" s="46" t="s">
        <v>18</v>
      </c>
      <c r="D12" s="65"/>
      <c r="E12" s="48">
        <f t="shared" si="2"/>
        <v>0</v>
      </c>
      <c r="F12" s="49"/>
      <c r="G12" s="50"/>
      <c r="H12" s="51">
        <f t="shared" si="10"/>
        <v>0</v>
      </c>
      <c r="I12" s="52">
        <f t="shared" si="11"/>
        <v>0</v>
      </c>
      <c r="J12" s="207"/>
      <c r="K12" s="248">
        <f t="shared" si="3"/>
        <v>0</v>
      </c>
      <c r="L12" s="223"/>
      <c r="M12" s="206"/>
      <c r="N12" s="195">
        <f t="shared" si="12"/>
        <v>0</v>
      </c>
      <c r="O12" s="196">
        <f t="shared" si="13"/>
        <v>0</v>
      </c>
      <c r="P12" s="66"/>
      <c r="Q12" s="56">
        <f>+P12*B12</f>
        <v>0</v>
      </c>
      <c r="R12" s="67"/>
      <c r="S12" s="56"/>
      <c r="T12" s="57">
        <f>P12+R12</f>
        <v>0</v>
      </c>
      <c r="U12" s="58">
        <f t="shared" si="15"/>
        <v>0</v>
      </c>
      <c r="V12" s="68"/>
      <c r="W12" s="60">
        <f t="shared" si="0"/>
        <v>0</v>
      </c>
      <c r="X12" s="69"/>
      <c r="Y12" s="62"/>
      <c r="Z12" s="63">
        <f t="shared" si="16"/>
        <v>0</v>
      </c>
      <c r="AA12" s="41">
        <f t="shared" si="17"/>
        <v>0</v>
      </c>
      <c r="AB12" s="42">
        <f>+D12+F12+P12+R12+V12+X12</f>
        <v>0</v>
      </c>
      <c r="AC12" s="188">
        <f t="shared" si="5"/>
        <v>0</v>
      </c>
      <c r="AD12" s="71"/>
      <c r="AE12" s="64"/>
      <c r="AG12" s="218">
        <f t="shared" si="6"/>
        <v>0</v>
      </c>
      <c r="AI12" s="64">
        <f t="shared" si="7"/>
        <v>0</v>
      </c>
      <c r="AK12" s="142">
        <f t="shared" si="8"/>
        <v>0</v>
      </c>
      <c r="AM12" s="142">
        <f>+D12+P12+V12+J12</f>
        <v>0</v>
      </c>
    </row>
    <row r="13" spans="1:43" x14ac:dyDescent="0.25">
      <c r="B13" s="174">
        <v>6320</v>
      </c>
      <c r="C13" s="46" t="s">
        <v>19</v>
      </c>
      <c r="D13" s="65"/>
      <c r="E13" s="48">
        <f t="shared" si="2"/>
        <v>0</v>
      </c>
      <c r="F13" s="49"/>
      <c r="G13" s="50"/>
      <c r="H13" s="51">
        <f t="shared" si="10"/>
        <v>0</v>
      </c>
      <c r="I13" s="52">
        <f t="shared" si="11"/>
        <v>0</v>
      </c>
      <c r="J13" s="207"/>
      <c r="K13" s="248">
        <f t="shared" si="3"/>
        <v>0</v>
      </c>
      <c r="L13" s="223"/>
      <c r="M13" s="206"/>
      <c r="N13" s="195">
        <f t="shared" si="12"/>
        <v>0</v>
      </c>
      <c r="O13" s="196">
        <f t="shared" si="13"/>
        <v>0</v>
      </c>
      <c r="P13" s="66"/>
      <c r="Q13" s="56">
        <f t="shared" si="4"/>
        <v>0</v>
      </c>
      <c r="R13" s="67"/>
      <c r="S13" s="56"/>
      <c r="T13" s="57">
        <f t="shared" si="14"/>
        <v>0</v>
      </c>
      <c r="U13" s="58">
        <f t="shared" si="15"/>
        <v>0</v>
      </c>
      <c r="V13" s="68"/>
      <c r="W13" s="60">
        <f t="shared" si="0"/>
        <v>0</v>
      </c>
      <c r="X13" s="69"/>
      <c r="Y13" s="62"/>
      <c r="Z13" s="63">
        <f t="shared" si="16"/>
        <v>0</v>
      </c>
      <c r="AA13" s="41">
        <f t="shared" si="17"/>
        <v>0</v>
      </c>
      <c r="AB13" s="42">
        <f t="shared" si="1"/>
        <v>0</v>
      </c>
      <c r="AC13" s="188">
        <f t="shared" si="5"/>
        <v>0</v>
      </c>
      <c r="AD13" s="70"/>
      <c r="AE13" s="64"/>
      <c r="AG13" s="218">
        <f t="shared" si="6"/>
        <v>0</v>
      </c>
      <c r="AI13" s="64">
        <f t="shared" si="7"/>
        <v>0</v>
      </c>
      <c r="AK13" s="142">
        <f t="shared" si="8"/>
        <v>0</v>
      </c>
      <c r="AM13" s="142">
        <f t="shared" si="9"/>
        <v>0</v>
      </c>
    </row>
    <row r="14" spans="1:43" x14ac:dyDescent="0.25">
      <c r="B14" s="174">
        <v>6320</v>
      </c>
      <c r="C14" s="46" t="s">
        <v>20</v>
      </c>
      <c r="D14" s="65"/>
      <c r="E14" s="48">
        <f t="shared" si="2"/>
        <v>0</v>
      </c>
      <c r="F14" s="49"/>
      <c r="G14" s="50"/>
      <c r="H14" s="51">
        <f t="shared" si="10"/>
        <v>0</v>
      </c>
      <c r="I14" s="52">
        <f t="shared" si="11"/>
        <v>0</v>
      </c>
      <c r="J14" s="207"/>
      <c r="K14" s="248">
        <f t="shared" si="3"/>
        <v>0</v>
      </c>
      <c r="L14" s="223"/>
      <c r="M14" s="206"/>
      <c r="N14" s="195">
        <f t="shared" si="12"/>
        <v>0</v>
      </c>
      <c r="O14" s="196">
        <f t="shared" si="13"/>
        <v>0</v>
      </c>
      <c r="P14" s="66"/>
      <c r="Q14" s="56">
        <f t="shared" si="4"/>
        <v>0</v>
      </c>
      <c r="R14" s="67"/>
      <c r="S14" s="56"/>
      <c r="T14" s="57">
        <f t="shared" si="14"/>
        <v>0</v>
      </c>
      <c r="U14" s="58">
        <f t="shared" si="15"/>
        <v>0</v>
      </c>
      <c r="V14" s="68"/>
      <c r="W14" s="60">
        <f t="shared" si="0"/>
        <v>0</v>
      </c>
      <c r="X14" s="69"/>
      <c r="Y14" s="62"/>
      <c r="Z14" s="63">
        <f t="shared" si="16"/>
        <v>0</v>
      </c>
      <c r="AA14" s="41">
        <f t="shared" si="17"/>
        <v>0</v>
      </c>
      <c r="AB14" s="42">
        <f t="shared" si="1"/>
        <v>0</v>
      </c>
      <c r="AC14" s="188">
        <f t="shared" si="5"/>
        <v>0</v>
      </c>
      <c r="AD14" s="70"/>
      <c r="AE14" s="64"/>
      <c r="AG14" s="218">
        <f t="shared" si="6"/>
        <v>0</v>
      </c>
      <c r="AI14" s="64">
        <f t="shared" si="7"/>
        <v>0</v>
      </c>
      <c r="AK14" s="142">
        <f t="shared" si="8"/>
        <v>0</v>
      </c>
      <c r="AM14" s="142">
        <f t="shared" si="9"/>
        <v>0</v>
      </c>
      <c r="AQ14" s="1" t="s">
        <v>38</v>
      </c>
    </row>
    <row r="15" spans="1:43" x14ac:dyDescent="0.25">
      <c r="B15" s="174">
        <v>6320</v>
      </c>
      <c r="C15" s="46" t="s">
        <v>21</v>
      </c>
      <c r="D15" s="65"/>
      <c r="E15" s="48">
        <f t="shared" si="2"/>
        <v>0</v>
      </c>
      <c r="F15" s="49"/>
      <c r="G15" s="50"/>
      <c r="H15" s="51">
        <f t="shared" si="10"/>
        <v>0</v>
      </c>
      <c r="I15" s="52">
        <f t="shared" si="11"/>
        <v>0</v>
      </c>
      <c r="J15" s="207"/>
      <c r="K15" s="248">
        <f t="shared" si="3"/>
        <v>0</v>
      </c>
      <c r="L15" s="223"/>
      <c r="M15" s="206"/>
      <c r="N15" s="195">
        <f t="shared" si="12"/>
        <v>0</v>
      </c>
      <c r="O15" s="196">
        <f t="shared" si="13"/>
        <v>0</v>
      </c>
      <c r="P15" s="66"/>
      <c r="Q15" s="56">
        <f t="shared" si="4"/>
        <v>0</v>
      </c>
      <c r="R15" s="67"/>
      <c r="S15" s="56"/>
      <c r="T15" s="57">
        <f t="shared" si="14"/>
        <v>0</v>
      </c>
      <c r="U15" s="58">
        <f t="shared" si="15"/>
        <v>0</v>
      </c>
      <c r="V15" s="68"/>
      <c r="W15" s="60">
        <f t="shared" si="0"/>
        <v>0</v>
      </c>
      <c r="X15" s="69"/>
      <c r="Y15" s="62"/>
      <c r="Z15" s="63">
        <f t="shared" si="16"/>
        <v>0</v>
      </c>
      <c r="AA15" s="41">
        <f t="shared" si="17"/>
        <v>0</v>
      </c>
      <c r="AB15" s="42">
        <f t="shared" si="1"/>
        <v>0</v>
      </c>
      <c r="AC15" s="188">
        <f t="shared" si="5"/>
        <v>0</v>
      </c>
      <c r="AD15" s="70"/>
      <c r="AE15" s="64"/>
      <c r="AG15" s="218">
        <f t="shared" si="6"/>
        <v>0</v>
      </c>
      <c r="AI15" s="64">
        <f t="shared" si="7"/>
        <v>0</v>
      </c>
      <c r="AK15" s="142">
        <f t="shared" si="8"/>
        <v>0</v>
      </c>
      <c r="AM15" s="142">
        <f t="shared" si="9"/>
        <v>0</v>
      </c>
    </row>
    <row r="16" spans="1:43" x14ac:dyDescent="0.25">
      <c r="B16" s="174" t="s">
        <v>26</v>
      </c>
      <c r="C16" s="46" t="s">
        <v>33</v>
      </c>
      <c r="D16" s="65"/>
      <c r="E16" s="48">
        <v>0</v>
      </c>
      <c r="F16" s="49"/>
      <c r="G16" s="50"/>
      <c r="H16" s="51">
        <f t="shared" si="10"/>
        <v>0</v>
      </c>
      <c r="I16" s="52">
        <f t="shared" si="11"/>
        <v>0</v>
      </c>
      <c r="J16" s="207"/>
      <c r="K16" s="248">
        <v>0</v>
      </c>
      <c r="L16" s="223"/>
      <c r="M16" s="206"/>
      <c r="N16" s="195">
        <f t="shared" si="12"/>
        <v>0</v>
      </c>
      <c r="O16" s="196">
        <f t="shared" si="13"/>
        <v>0</v>
      </c>
      <c r="P16" s="66"/>
      <c r="Q16" s="56">
        <v>0</v>
      </c>
      <c r="R16" s="67"/>
      <c r="S16" s="56"/>
      <c r="T16" s="57">
        <f t="shared" si="14"/>
        <v>0</v>
      </c>
      <c r="U16" s="58">
        <v>0</v>
      </c>
      <c r="V16" s="68"/>
      <c r="W16" s="60">
        <v>0</v>
      </c>
      <c r="X16" s="69"/>
      <c r="Y16" s="62"/>
      <c r="Z16" s="63">
        <f>+X16+V16</f>
        <v>0</v>
      </c>
      <c r="AA16" s="41">
        <f>+Y16+W16</f>
        <v>0</v>
      </c>
      <c r="AB16" s="42">
        <f t="shared" si="1"/>
        <v>0</v>
      </c>
      <c r="AC16" s="188">
        <f t="shared" si="5"/>
        <v>0</v>
      </c>
      <c r="AD16" s="70"/>
      <c r="AE16" s="64"/>
      <c r="AG16" s="218">
        <f t="shared" si="6"/>
        <v>0</v>
      </c>
      <c r="AI16" s="64">
        <f t="shared" si="7"/>
        <v>0</v>
      </c>
      <c r="AK16" s="142">
        <f t="shared" si="8"/>
        <v>0</v>
      </c>
      <c r="AM16" s="142">
        <f t="shared" si="9"/>
        <v>0</v>
      </c>
    </row>
    <row r="17" spans="2:41" x14ac:dyDescent="0.25">
      <c r="B17" s="175">
        <v>14010</v>
      </c>
      <c r="C17" s="46" t="s">
        <v>23</v>
      </c>
      <c r="D17" s="65"/>
      <c r="E17" s="48">
        <f t="shared" si="2"/>
        <v>0</v>
      </c>
      <c r="F17" s="49"/>
      <c r="G17" s="50"/>
      <c r="H17" s="51">
        <f t="shared" si="10"/>
        <v>0</v>
      </c>
      <c r="I17" s="52">
        <f t="shared" si="11"/>
        <v>0</v>
      </c>
      <c r="J17" s="207"/>
      <c r="K17" s="248">
        <f t="shared" si="3"/>
        <v>0</v>
      </c>
      <c r="L17" s="223"/>
      <c r="M17" s="206"/>
      <c r="N17" s="195">
        <f t="shared" si="12"/>
        <v>0</v>
      </c>
      <c r="O17" s="196">
        <f t="shared" si="13"/>
        <v>0</v>
      </c>
      <c r="P17" s="66"/>
      <c r="Q17" s="56">
        <f t="shared" si="4"/>
        <v>0</v>
      </c>
      <c r="R17" s="67"/>
      <c r="S17" s="56"/>
      <c r="T17" s="57">
        <f t="shared" si="14"/>
        <v>0</v>
      </c>
      <c r="U17" s="58">
        <f t="shared" si="15"/>
        <v>0</v>
      </c>
      <c r="V17" s="68"/>
      <c r="W17" s="60">
        <f t="shared" si="0"/>
        <v>0</v>
      </c>
      <c r="X17" s="69"/>
      <c r="Y17" s="62"/>
      <c r="Z17" s="63">
        <f t="shared" si="16"/>
        <v>0</v>
      </c>
      <c r="AA17" s="41">
        <f t="shared" si="17"/>
        <v>0</v>
      </c>
      <c r="AB17" s="42">
        <f t="shared" si="1"/>
        <v>0</v>
      </c>
      <c r="AC17" s="188">
        <f t="shared" si="5"/>
        <v>0</v>
      </c>
      <c r="AD17" s="70"/>
      <c r="AE17" s="64"/>
      <c r="AG17" s="218">
        <f t="shared" si="6"/>
        <v>0</v>
      </c>
      <c r="AI17" s="64">
        <f t="shared" si="7"/>
        <v>0</v>
      </c>
      <c r="AK17" s="142">
        <f t="shared" si="8"/>
        <v>0</v>
      </c>
      <c r="AM17" s="142">
        <f t="shared" si="9"/>
        <v>0</v>
      </c>
    </row>
    <row r="18" spans="2:41" x14ac:dyDescent="0.25">
      <c r="B18" s="174">
        <v>11870</v>
      </c>
      <c r="C18" s="46" t="s">
        <v>24</v>
      </c>
      <c r="D18" s="65"/>
      <c r="E18" s="48">
        <f t="shared" si="2"/>
        <v>0</v>
      </c>
      <c r="F18" s="49"/>
      <c r="G18" s="50"/>
      <c r="H18" s="51">
        <f t="shared" si="10"/>
        <v>0</v>
      </c>
      <c r="I18" s="52">
        <f t="shared" si="11"/>
        <v>0</v>
      </c>
      <c r="J18" s="207"/>
      <c r="K18" s="248">
        <f t="shared" si="3"/>
        <v>0</v>
      </c>
      <c r="L18" s="223"/>
      <c r="M18" s="206"/>
      <c r="N18" s="195">
        <f t="shared" si="12"/>
        <v>0</v>
      </c>
      <c r="O18" s="196">
        <f t="shared" si="13"/>
        <v>0</v>
      </c>
      <c r="P18" s="66"/>
      <c r="Q18" s="56">
        <f t="shared" si="4"/>
        <v>0</v>
      </c>
      <c r="R18" s="67"/>
      <c r="S18" s="56"/>
      <c r="T18" s="57">
        <f t="shared" si="14"/>
        <v>0</v>
      </c>
      <c r="U18" s="58">
        <f t="shared" si="15"/>
        <v>0</v>
      </c>
      <c r="V18" s="68"/>
      <c r="W18" s="60">
        <f t="shared" si="0"/>
        <v>0</v>
      </c>
      <c r="X18" s="69"/>
      <c r="Y18" s="62"/>
      <c r="Z18" s="63">
        <f t="shared" si="16"/>
        <v>0</v>
      </c>
      <c r="AA18" s="41">
        <f t="shared" si="17"/>
        <v>0</v>
      </c>
      <c r="AB18" s="42">
        <f t="shared" si="1"/>
        <v>0</v>
      </c>
      <c r="AC18" s="188">
        <f t="shared" si="5"/>
        <v>0</v>
      </c>
      <c r="AD18" s="70"/>
      <c r="AE18" s="64"/>
      <c r="AG18" s="218">
        <f t="shared" si="6"/>
        <v>0</v>
      </c>
      <c r="AI18" s="64">
        <f t="shared" si="7"/>
        <v>0</v>
      </c>
      <c r="AK18" s="142">
        <f t="shared" si="8"/>
        <v>0</v>
      </c>
      <c r="AM18" s="142">
        <f t="shared" si="9"/>
        <v>0</v>
      </c>
    </row>
    <row r="19" spans="2:41" x14ac:dyDescent="0.25">
      <c r="B19" s="174">
        <v>6710</v>
      </c>
      <c r="C19" s="46" t="s">
        <v>0</v>
      </c>
      <c r="D19" s="65"/>
      <c r="E19" s="48">
        <f t="shared" si="2"/>
        <v>0</v>
      </c>
      <c r="F19" s="72"/>
      <c r="G19" s="50"/>
      <c r="H19" s="51">
        <f t="shared" si="10"/>
        <v>0</v>
      </c>
      <c r="I19" s="52">
        <f t="shared" si="11"/>
        <v>0</v>
      </c>
      <c r="J19" s="207"/>
      <c r="K19" s="248">
        <f t="shared" si="3"/>
        <v>0</v>
      </c>
      <c r="L19" s="224"/>
      <c r="M19" s="206"/>
      <c r="N19" s="195">
        <f t="shared" si="12"/>
        <v>0</v>
      </c>
      <c r="O19" s="196">
        <f t="shared" si="13"/>
        <v>0</v>
      </c>
      <c r="P19" s="66"/>
      <c r="Q19" s="56">
        <f t="shared" si="4"/>
        <v>0</v>
      </c>
      <c r="R19" s="73"/>
      <c r="S19" s="56"/>
      <c r="T19" s="57">
        <f t="shared" si="14"/>
        <v>0</v>
      </c>
      <c r="U19" s="58">
        <f t="shared" si="15"/>
        <v>0</v>
      </c>
      <c r="V19" s="68"/>
      <c r="W19" s="60">
        <f t="shared" si="0"/>
        <v>0</v>
      </c>
      <c r="X19" s="74"/>
      <c r="Y19" s="62"/>
      <c r="Z19" s="63">
        <f t="shared" si="16"/>
        <v>0</v>
      </c>
      <c r="AA19" s="41">
        <f t="shared" si="17"/>
        <v>0</v>
      </c>
      <c r="AB19" s="42">
        <f t="shared" si="1"/>
        <v>0</v>
      </c>
      <c r="AC19" s="188">
        <f t="shared" si="5"/>
        <v>0</v>
      </c>
      <c r="AD19" s="70"/>
      <c r="AE19" s="64"/>
      <c r="AF19" s="1" t="s">
        <v>25</v>
      </c>
      <c r="AG19" s="218">
        <f t="shared" si="6"/>
        <v>0</v>
      </c>
      <c r="AI19" s="64">
        <f t="shared" si="7"/>
        <v>0</v>
      </c>
      <c r="AK19" s="142">
        <f t="shared" si="8"/>
        <v>0</v>
      </c>
      <c r="AM19" s="142">
        <f t="shared" si="9"/>
        <v>0</v>
      </c>
    </row>
    <row r="20" spans="2:41" x14ac:dyDescent="0.25">
      <c r="B20" s="174" t="s">
        <v>26</v>
      </c>
      <c r="C20" s="46" t="s">
        <v>0</v>
      </c>
      <c r="D20" s="65"/>
      <c r="E20" s="48">
        <v>0</v>
      </c>
      <c r="F20" s="49"/>
      <c r="G20" s="50"/>
      <c r="H20" s="51">
        <f t="shared" si="10"/>
        <v>0</v>
      </c>
      <c r="I20" s="52">
        <f t="shared" si="11"/>
        <v>0</v>
      </c>
      <c r="J20" s="207"/>
      <c r="K20" s="248">
        <v>0</v>
      </c>
      <c r="L20" s="223"/>
      <c r="M20" s="206"/>
      <c r="N20" s="195">
        <f t="shared" si="12"/>
        <v>0</v>
      </c>
      <c r="O20" s="196">
        <f t="shared" si="13"/>
        <v>0</v>
      </c>
      <c r="P20" s="66"/>
      <c r="Q20" s="56">
        <v>0</v>
      </c>
      <c r="R20" s="67"/>
      <c r="S20" s="56"/>
      <c r="T20" s="57">
        <f t="shared" si="14"/>
        <v>0</v>
      </c>
      <c r="U20" s="58">
        <f t="shared" si="15"/>
        <v>0</v>
      </c>
      <c r="V20" s="68"/>
      <c r="W20" s="60">
        <v>0</v>
      </c>
      <c r="X20" s="69"/>
      <c r="Y20" s="62"/>
      <c r="Z20" s="63">
        <f t="shared" si="16"/>
        <v>0</v>
      </c>
      <c r="AA20" s="41">
        <f t="shared" si="17"/>
        <v>0</v>
      </c>
      <c r="AB20" s="42">
        <f t="shared" si="1"/>
        <v>0</v>
      </c>
      <c r="AC20" s="188">
        <f t="shared" si="5"/>
        <v>0</v>
      </c>
      <c r="AD20" s="70"/>
      <c r="AE20" s="64"/>
      <c r="AG20" s="218">
        <f t="shared" si="6"/>
        <v>0</v>
      </c>
      <c r="AI20" s="64">
        <f t="shared" si="7"/>
        <v>0</v>
      </c>
      <c r="AK20" s="142">
        <f t="shared" si="8"/>
        <v>0</v>
      </c>
      <c r="AM20" s="142">
        <f t="shared" si="9"/>
        <v>0</v>
      </c>
    </row>
    <row r="21" spans="2:41" x14ac:dyDescent="0.25">
      <c r="B21" s="174" t="s">
        <v>26</v>
      </c>
      <c r="C21" s="46" t="s">
        <v>28</v>
      </c>
      <c r="D21" s="65"/>
      <c r="E21" s="75">
        <v>0</v>
      </c>
      <c r="F21" s="49"/>
      <c r="G21" s="50"/>
      <c r="H21" s="51">
        <f t="shared" si="10"/>
        <v>0</v>
      </c>
      <c r="I21" s="52">
        <f t="shared" si="11"/>
        <v>0</v>
      </c>
      <c r="J21" s="207"/>
      <c r="K21" s="248">
        <v>0</v>
      </c>
      <c r="L21" s="223"/>
      <c r="M21" s="206"/>
      <c r="N21" s="195">
        <f t="shared" si="12"/>
        <v>0</v>
      </c>
      <c r="O21" s="196">
        <f t="shared" si="13"/>
        <v>0</v>
      </c>
      <c r="P21" s="66"/>
      <c r="Q21" s="56">
        <v>0</v>
      </c>
      <c r="R21" s="67"/>
      <c r="S21" s="56"/>
      <c r="T21" s="57">
        <f t="shared" si="14"/>
        <v>0</v>
      </c>
      <c r="U21" s="58">
        <f t="shared" si="15"/>
        <v>0</v>
      </c>
      <c r="V21" s="68"/>
      <c r="W21" s="60">
        <v>0</v>
      </c>
      <c r="X21" s="69"/>
      <c r="Y21" s="62"/>
      <c r="Z21" s="63">
        <f t="shared" si="16"/>
        <v>0</v>
      </c>
      <c r="AA21" s="41">
        <f t="shared" si="17"/>
        <v>0</v>
      </c>
      <c r="AB21" s="42">
        <f t="shared" si="1"/>
        <v>0</v>
      </c>
      <c r="AC21" s="188">
        <f t="shared" si="5"/>
        <v>0</v>
      </c>
      <c r="AD21" s="70"/>
      <c r="AE21" s="64"/>
      <c r="AG21" s="218">
        <f t="shared" si="6"/>
        <v>0</v>
      </c>
      <c r="AI21" s="64">
        <f t="shared" si="7"/>
        <v>0</v>
      </c>
      <c r="AK21" s="142">
        <f t="shared" si="8"/>
        <v>0</v>
      </c>
      <c r="AM21" s="142">
        <f t="shared" si="9"/>
        <v>0</v>
      </c>
    </row>
    <row r="22" spans="2:41" ht="15.75" thickBot="1" x14ac:dyDescent="0.3">
      <c r="B22" s="176" t="s">
        <v>26</v>
      </c>
      <c r="C22" s="76" t="s">
        <v>29</v>
      </c>
      <c r="D22" s="77"/>
      <c r="E22" s="78">
        <v>0</v>
      </c>
      <c r="F22" s="79"/>
      <c r="G22" s="80"/>
      <c r="H22" s="81">
        <f t="shared" si="10"/>
        <v>0</v>
      </c>
      <c r="I22" s="82">
        <f t="shared" si="11"/>
        <v>0</v>
      </c>
      <c r="J22" s="210"/>
      <c r="K22" s="250">
        <v>0</v>
      </c>
      <c r="L22" s="225"/>
      <c r="M22" s="213"/>
      <c r="N22" s="197">
        <f t="shared" si="12"/>
        <v>0</v>
      </c>
      <c r="O22" s="198">
        <f t="shared" si="13"/>
        <v>0</v>
      </c>
      <c r="P22" s="245"/>
      <c r="Q22" s="237">
        <v>0</v>
      </c>
      <c r="R22" s="85"/>
      <c r="S22" s="86"/>
      <c r="T22" s="87">
        <f t="shared" si="14"/>
        <v>0</v>
      </c>
      <c r="U22" s="88">
        <f>S22+Q22</f>
        <v>0</v>
      </c>
      <c r="V22" s="89"/>
      <c r="W22" s="60">
        <v>0</v>
      </c>
      <c r="X22" s="90"/>
      <c r="Y22" s="91"/>
      <c r="Z22" s="92">
        <f t="shared" si="16"/>
        <v>0</v>
      </c>
      <c r="AA22" s="93">
        <f t="shared" si="17"/>
        <v>0</v>
      </c>
      <c r="AB22" s="42">
        <f t="shared" si="1"/>
        <v>0</v>
      </c>
      <c r="AC22" s="188">
        <f>+E22+G22+Q22+S22+W22+Y22+K22+M22</f>
        <v>0</v>
      </c>
      <c r="AD22" s="70"/>
      <c r="AE22" s="94"/>
      <c r="AG22" s="219">
        <f>E22+W22+Q22+K22</f>
        <v>0</v>
      </c>
      <c r="AI22" s="94">
        <f t="shared" si="7"/>
        <v>0</v>
      </c>
      <c r="AK22" s="144">
        <f t="shared" si="8"/>
        <v>0</v>
      </c>
      <c r="AM22" s="144">
        <f t="shared" si="9"/>
        <v>0</v>
      </c>
    </row>
    <row r="23" spans="2:41" ht="15.75" thickBot="1" x14ac:dyDescent="0.3">
      <c r="D23" s="95">
        <f t="shared" ref="D23:I23" si="18">SUM(D8:D22)</f>
        <v>0</v>
      </c>
      <c r="E23" s="96">
        <f t="shared" si="18"/>
        <v>0</v>
      </c>
      <c r="F23" s="95">
        <f t="shared" si="18"/>
        <v>0</v>
      </c>
      <c r="G23" s="97">
        <f t="shared" si="18"/>
        <v>0</v>
      </c>
      <c r="H23" s="98">
        <f t="shared" si="18"/>
        <v>0</v>
      </c>
      <c r="I23" s="99">
        <f t="shared" si="18"/>
        <v>0</v>
      </c>
      <c r="J23" s="214">
        <f t="shared" ref="J23:O23" si="19">SUM(J8:J22)</f>
        <v>0</v>
      </c>
      <c r="K23" s="226">
        <f t="shared" si="19"/>
        <v>0</v>
      </c>
      <c r="L23" s="214">
        <f t="shared" si="19"/>
        <v>0</v>
      </c>
      <c r="M23" s="216">
        <f t="shared" si="19"/>
        <v>0</v>
      </c>
      <c r="N23" s="217">
        <f t="shared" si="19"/>
        <v>0</v>
      </c>
      <c r="O23" s="99">
        <f t="shared" si="19"/>
        <v>0</v>
      </c>
      <c r="P23" s="244">
        <f t="shared" ref="P23:AA23" si="20">SUM(P8:P22)</f>
        <v>0</v>
      </c>
      <c r="Q23" s="101">
        <f t="shared" si="20"/>
        <v>0</v>
      </c>
      <c r="R23" s="100">
        <f t="shared" si="20"/>
        <v>14</v>
      </c>
      <c r="S23" s="102">
        <f t="shared" si="20"/>
        <v>88480</v>
      </c>
      <c r="T23" s="103">
        <f t="shared" si="20"/>
        <v>14</v>
      </c>
      <c r="U23" s="104">
        <f t="shared" si="20"/>
        <v>88480</v>
      </c>
      <c r="V23" s="105">
        <f t="shared" si="20"/>
        <v>0</v>
      </c>
      <c r="W23" s="106">
        <f t="shared" si="20"/>
        <v>0</v>
      </c>
      <c r="X23" s="105">
        <f t="shared" si="20"/>
        <v>0</v>
      </c>
      <c r="Y23" s="107">
        <f t="shared" si="20"/>
        <v>0</v>
      </c>
      <c r="Z23" s="108">
        <f t="shared" si="20"/>
        <v>0</v>
      </c>
      <c r="AA23" s="104">
        <f t="shared" si="20"/>
        <v>0</v>
      </c>
      <c r="AB23" s="109" t="s">
        <v>9</v>
      </c>
      <c r="AC23" s="43">
        <f>SUM(AC8:AC22)</f>
        <v>88480</v>
      </c>
      <c r="AD23" s="70"/>
      <c r="AE23" s="1">
        <f>SUM(AE8:AE22)</f>
        <v>0</v>
      </c>
      <c r="AI23" s="110"/>
      <c r="AK23" s="1">
        <f>SUM(AK8:AK22)</f>
        <v>14</v>
      </c>
      <c r="AM23" s="1">
        <f>SUM(AM8:AM22)</f>
        <v>0</v>
      </c>
      <c r="AO23" s="1">
        <f>+AK23+AM23</f>
        <v>14</v>
      </c>
    </row>
    <row r="24" spans="2:41" x14ac:dyDescent="0.25">
      <c r="G24" s="111"/>
      <c r="H24" s="111"/>
      <c r="I24" s="111"/>
      <c r="M24" s="111"/>
      <c r="N24" s="111"/>
      <c r="O24" s="111"/>
      <c r="P24" s="111"/>
      <c r="Q24" s="111"/>
      <c r="R24" s="112">
        <f>X23+F23+R23+L23</f>
        <v>14</v>
      </c>
      <c r="S24" s="113">
        <f>G23+Y23+S23+M23</f>
        <v>88480</v>
      </c>
      <c r="T24" s="111"/>
      <c r="U24" s="111"/>
      <c r="V24" s="111"/>
      <c r="W24" s="111"/>
      <c r="X24" s="111"/>
      <c r="Y24" s="111"/>
      <c r="Z24" s="111"/>
      <c r="AA24" s="111"/>
      <c r="AB24" s="2"/>
      <c r="AC24" s="70">
        <f>AA23+U23+I23+O23</f>
        <v>88480</v>
      </c>
      <c r="AD24" s="2"/>
    </row>
    <row r="25" spans="2:41" x14ac:dyDescent="0.25">
      <c r="D25" s="114" t="s">
        <v>30</v>
      </c>
      <c r="E25" s="114"/>
      <c r="G25" s="114"/>
      <c r="H25" s="114"/>
      <c r="I25" s="114"/>
      <c r="J25" s="114" t="s">
        <v>30</v>
      </c>
      <c r="K25" s="114"/>
      <c r="M25" s="114"/>
      <c r="N25" s="114"/>
      <c r="O25" s="114"/>
      <c r="P25" s="114"/>
      <c r="Q25" s="114"/>
      <c r="R25" s="114"/>
      <c r="S25" s="114"/>
      <c r="T25" s="114"/>
      <c r="U25" s="114"/>
      <c r="AA25" s="2"/>
      <c r="AB25" s="2"/>
      <c r="AC25" s="2"/>
      <c r="AD25" s="2"/>
    </row>
    <row r="26" spans="2:41" x14ac:dyDescent="0.25">
      <c r="D26" s="114"/>
      <c r="E26" s="114"/>
      <c r="J26" s="114"/>
      <c r="K26" s="114"/>
      <c r="P26" s="1"/>
      <c r="Q26" s="1"/>
      <c r="R26" s="1"/>
      <c r="S26" s="1"/>
      <c r="T26" s="1"/>
      <c r="U26" s="1"/>
      <c r="AA26" s="2"/>
      <c r="AB26" s="2"/>
      <c r="AC26" s="2"/>
      <c r="AD26" s="2"/>
    </row>
    <row r="27" spans="2:41" x14ac:dyDescent="0.25">
      <c r="C27" s="115">
        <v>20000</v>
      </c>
      <c r="D27" s="115"/>
      <c r="E27" s="115"/>
      <c r="F27" s="116"/>
      <c r="G27" s="117"/>
      <c r="H27" s="118"/>
      <c r="I27" s="119"/>
      <c r="J27" s="115"/>
      <c r="K27" s="115"/>
      <c r="L27" s="116"/>
      <c r="M27" s="117"/>
      <c r="N27" s="118"/>
      <c r="O27" s="119"/>
      <c r="P27" s="119"/>
      <c r="Q27" s="119"/>
      <c r="R27" s="119"/>
      <c r="S27" s="119"/>
      <c r="T27" s="119"/>
      <c r="U27" s="119">
        <v>40000</v>
      </c>
      <c r="V27" s="119"/>
      <c r="W27" s="119"/>
      <c r="X27" s="120"/>
      <c r="Y27" s="121"/>
      <c r="Z27" s="120"/>
      <c r="AA27" s="119"/>
      <c r="AB27" s="122"/>
      <c r="AC27" s="122"/>
      <c r="AD27" s="2"/>
      <c r="AE27" s="2"/>
      <c r="AF27" s="2"/>
    </row>
    <row r="28" spans="2:41" x14ac:dyDescent="0.25">
      <c r="C28" s="115">
        <v>10000</v>
      </c>
      <c r="D28" s="115"/>
      <c r="E28" s="115"/>
      <c r="F28" s="116"/>
      <c r="G28" s="117"/>
      <c r="H28" s="118"/>
      <c r="I28" s="119"/>
      <c r="J28" s="115"/>
      <c r="K28" s="115"/>
      <c r="L28" s="116"/>
      <c r="M28" s="117"/>
      <c r="N28" s="118"/>
      <c r="O28" s="119"/>
      <c r="P28" s="119"/>
      <c r="Q28" s="119"/>
      <c r="R28" s="119"/>
      <c r="S28" s="119"/>
      <c r="T28" s="119"/>
      <c r="U28" s="119">
        <v>40000</v>
      </c>
      <c r="V28" s="119"/>
      <c r="W28" s="119"/>
      <c r="X28" s="120"/>
      <c r="Y28" s="122"/>
      <c r="Z28" s="120"/>
      <c r="AA28" s="119"/>
      <c r="AB28" s="122"/>
      <c r="AC28" s="122"/>
      <c r="AD28" s="2"/>
      <c r="AE28" s="2"/>
      <c r="AF28" s="2"/>
    </row>
    <row r="29" spans="2:41" x14ac:dyDescent="0.25">
      <c r="C29" s="115">
        <v>5000</v>
      </c>
      <c r="D29" s="115"/>
      <c r="E29" s="115"/>
      <c r="F29" s="116"/>
      <c r="G29" s="117"/>
      <c r="H29" s="118"/>
      <c r="I29" s="119"/>
      <c r="J29" s="115"/>
      <c r="K29" s="115"/>
      <c r="L29" s="116"/>
      <c r="M29" s="117"/>
      <c r="N29" s="118"/>
      <c r="O29" s="119"/>
      <c r="P29" s="119"/>
      <c r="Q29" s="119"/>
      <c r="R29" s="119"/>
      <c r="S29" s="119"/>
      <c r="T29" s="119"/>
      <c r="U29" s="119">
        <v>0</v>
      </c>
      <c r="V29" s="119"/>
      <c r="W29" s="119"/>
      <c r="X29" s="120"/>
      <c r="Y29" s="121"/>
      <c r="Z29" s="120"/>
      <c r="AA29" s="119"/>
      <c r="AB29" s="122"/>
      <c r="AC29" s="122"/>
      <c r="AD29" s="2"/>
      <c r="AE29" s="2"/>
      <c r="AF29" s="2"/>
    </row>
    <row r="30" spans="2:41" x14ac:dyDescent="0.25">
      <c r="C30" s="115">
        <v>2000</v>
      </c>
      <c r="D30" s="115"/>
      <c r="E30" s="115"/>
      <c r="F30" s="116"/>
      <c r="G30" s="117"/>
      <c r="H30" s="118"/>
      <c r="I30" s="119"/>
      <c r="J30" s="115"/>
      <c r="K30" s="115"/>
      <c r="L30" s="116"/>
      <c r="M30" s="117"/>
      <c r="N30" s="118"/>
      <c r="O30" s="119"/>
      <c r="P30" s="119"/>
      <c r="Q30" s="119"/>
      <c r="R30" s="119"/>
      <c r="S30" s="119"/>
      <c r="T30" s="119"/>
      <c r="U30" s="119">
        <v>0</v>
      </c>
      <c r="V30" s="119"/>
      <c r="W30" s="119"/>
      <c r="X30" s="120"/>
      <c r="Y30" s="121"/>
      <c r="Z30" s="120"/>
      <c r="AA30" s="119"/>
      <c r="AB30" s="122"/>
      <c r="AC30" s="122"/>
      <c r="AD30" s="123"/>
    </row>
    <row r="31" spans="2:41" x14ac:dyDescent="0.25">
      <c r="C31" s="115">
        <v>1000</v>
      </c>
      <c r="D31" s="115"/>
      <c r="E31" s="115"/>
      <c r="F31" s="116"/>
      <c r="G31" s="117"/>
      <c r="H31" s="118"/>
      <c r="I31" s="124"/>
      <c r="J31" s="115"/>
      <c r="K31" s="115"/>
      <c r="L31" s="116"/>
      <c r="M31" s="117"/>
      <c r="N31" s="118"/>
      <c r="O31" s="124"/>
      <c r="P31" s="124"/>
      <c r="Q31" s="124"/>
      <c r="R31" s="124"/>
      <c r="S31" s="124"/>
      <c r="T31" s="124"/>
      <c r="U31" s="124">
        <v>2000</v>
      </c>
      <c r="V31" s="124"/>
      <c r="W31" s="124"/>
      <c r="X31" s="120"/>
      <c r="Y31" s="121"/>
      <c r="Z31" s="120"/>
      <c r="AA31" s="124"/>
      <c r="AB31" s="122"/>
      <c r="AC31" s="122"/>
      <c r="AD31" s="2"/>
    </row>
    <row r="32" spans="2:41" x14ac:dyDescent="0.25">
      <c r="C32" s="115">
        <v>500</v>
      </c>
      <c r="D32" s="115"/>
      <c r="E32" s="115"/>
      <c r="F32" s="116"/>
      <c r="G32" s="117"/>
      <c r="H32" s="118"/>
      <c r="I32" s="119"/>
      <c r="J32" s="115"/>
      <c r="K32" s="115"/>
      <c r="L32" s="116"/>
      <c r="M32" s="117"/>
      <c r="N32" s="118"/>
      <c r="O32" s="119"/>
      <c r="P32" s="119"/>
      <c r="Q32" s="119"/>
      <c r="R32" s="119"/>
      <c r="S32" s="119"/>
      <c r="T32" s="119"/>
      <c r="U32" s="119">
        <v>0</v>
      </c>
      <c r="V32" s="119"/>
      <c r="W32" s="119"/>
      <c r="X32" s="120"/>
      <c r="Y32" s="121"/>
      <c r="Z32" s="120"/>
      <c r="AA32" s="119"/>
      <c r="AB32" s="121"/>
      <c r="AC32" s="121"/>
      <c r="AD32" s="2"/>
    </row>
    <row r="33" spans="2:33" x14ac:dyDescent="0.25">
      <c r="C33" s="115">
        <v>100</v>
      </c>
      <c r="D33" s="115"/>
      <c r="E33" s="115"/>
      <c r="F33" s="116"/>
      <c r="G33" s="117"/>
      <c r="H33" s="118"/>
      <c r="I33" s="119"/>
      <c r="J33" s="115"/>
      <c r="K33" s="115"/>
      <c r="L33" s="116"/>
      <c r="M33" s="117"/>
      <c r="N33" s="118"/>
      <c r="O33" s="119"/>
      <c r="P33" s="119"/>
      <c r="Q33" s="119"/>
      <c r="R33" s="119"/>
      <c r="S33" s="119"/>
      <c r="T33" s="119"/>
      <c r="U33" s="119">
        <v>100</v>
      </c>
      <c r="V33" s="119"/>
      <c r="W33" s="119"/>
      <c r="X33" s="120"/>
      <c r="Y33" s="121"/>
      <c r="Z33" s="120"/>
      <c r="AA33" s="119"/>
      <c r="AB33" s="121"/>
      <c r="AC33" s="121"/>
      <c r="AD33" s="2"/>
    </row>
    <row r="34" spans="2:33" x14ac:dyDescent="0.25">
      <c r="C34" s="115">
        <v>50</v>
      </c>
      <c r="D34" s="115"/>
      <c r="E34" s="115"/>
      <c r="F34" s="116"/>
      <c r="G34" s="117"/>
      <c r="H34" s="118"/>
      <c r="I34" s="119"/>
      <c r="J34" s="115"/>
      <c r="K34" s="115"/>
      <c r="L34" s="116"/>
      <c r="M34" s="117"/>
      <c r="N34" s="118"/>
      <c r="O34" s="119"/>
      <c r="P34" s="119"/>
      <c r="Q34" s="119"/>
      <c r="R34" s="119"/>
      <c r="S34" s="119"/>
      <c r="T34" s="119"/>
      <c r="U34" s="119">
        <v>50</v>
      </c>
      <c r="V34" s="119"/>
      <c r="W34" s="119"/>
      <c r="X34" s="120"/>
      <c r="Y34" s="121"/>
      <c r="Z34" s="120"/>
      <c r="AA34" s="119"/>
      <c r="AB34" s="121"/>
      <c r="AC34" s="121"/>
      <c r="AD34" s="2"/>
    </row>
    <row r="35" spans="2:33" x14ac:dyDescent="0.25">
      <c r="C35" s="115">
        <v>10</v>
      </c>
      <c r="D35" s="115"/>
      <c r="E35" s="115"/>
      <c r="F35" s="116"/>
      <c r="G35" s="117"/>
      <c r="H35" s="118"/>
      <c r="I35" s="119"/>
      <c r="J35" s="115"/>
      <c r="K35" s="115"/>
      <c r="L35" s="116"/>
      <c r="M35" s="117"/>
      <c r="N35" s="118"/>
      <c r="O35" s="119"/>
      <c r="P35" s="119"/>
      <c r="Q35" s="119"/>
      <c r="R35" s="119"/>
      <c r="S35" s="119"/>
      <c r="T35" s="119"/>
      <c r="U35" s="119">
        <v>10</v>
      </c>
      <c r="V35" s="119"/>
      <c r="W35" s="119"/>
      <c r="X35" s="120"/>
      <c r="Y35" s="121"/>
      <c r="Z35" s="120"/>
      <c r="AA35" s="119"/>
      <c r="AB35" s="121"/>
      <c r="AC35" s="121"/>
      <c r="AD35" s="2"/>
      <c r="AG35" s="1" t="s">
        <v>25</v>
      </c>
    </row>
    <row r="36" spans="2:33" x14ac:dyDescent="0.25">
      <c r="C36" s="1" t="s">
        <v>32</v>
      </c>
      <c r="E36" s="131"/>
      <c r="G36" s="125"/>
      <c r="H36" s="118"/>
      <c r="I36" s="124"/>
      <c r="K36" s="131"/>
      <c r="M36" s="125"/>
      <c r="N36" s="118"/>
      <c r="O36" s="124"/>
      <c r="P36" s="124"/>
      <c r="Q36" s="124"/>
      <c r="R36" s="124"/>
      <c r="S36" s="124"/>
      <c r="T36" s="124"/>
      <c r="U36" s="124">
        <v>6320</v>
      </c>
      <c r="V36" s="124"/>
      <c r="W36" s="124"/>
      <c r="X36" s="120"/>
      <c r="Y36" s="124"/>
      <c r="Z36" s="120"/>
      <c r="AA36" s="124"/>
      <c r="AB36" s="124"/>
      <c r="AC36" s="124"/>
      <c r="AD36" s="2"/>
    </row>
    <row r="37" spans="2:33" s="114" customFormat="1" ht="15.75" x14ac:dyDescent="0.25">
      <c r="F37" s="126"/>
      <c r="G37" s="127"/>
      <c r="I37" s="128">
        <f>SUM(I27:I36)</f>
        <v>0</v>
      </c>
      <c r="L37" s="126"/>
      <c r="M37" s="127"/>
      <c r="O37" s="128">
        <f>SUM(O27:O36)</f>
        <v>0</v>
      </c>
      <c r="P37" s="116"/>
      <c r="Q37" s="116"/>
      <c r="R37" s="116"/>
      <c r="S37" s="116"/>
      <c r="T37" s="116"/>
      <c r="U37" s="128">
        <f>SUM(U27:U36)</f>
        <v>88480</v>
      </c>
      <c r="V37" s="116"/>
      <c r="W37" s="116"/>
      <c r="X37" s="123"/>
      <c r="Y37" s="116"/>
      <c r="Z37" s="123" t="s">
        <v>25</v>
      </c>
      <c r="AA37" s="128">
        <f>SUM(AA27:AA36)</f>
        <v>0</v>
      </c>
      <c r="AB37" s="129"/>
      <c r="AC37" s="125">
        <f>+I37+U37+AA37+O37</f>
        <v>88480</v>
      </c>
    </row>
    <row r="38" spans="2:33" x14ac:dyDescent="0.25">
      <c r="B38" s="2"/>
      <c r="C38" s="2"/>
      <c r="D38" s="2"/>
      <c r="E38" s="70"/>
      <c r="F38" s="2"/>
      <c r="G38" s="2"/>
      <c r="H38" s="2"/>
      <c r="I38" s="2"/>
      <c r="J38" s="2"/>
      <c r="K38" s="70"/>
      <c r="L38" s="2"/>
      <c r="M38" s="2"/>
      <c r="N38" s="2"/>
      <c r="O38" s="2"/>
      <c r="X38" s="70"/>
      <c r="AA38" s="2"/>
      <c r="AB38" s="130"/>
      <c r="AC38" s="131">
        <f>AC37-AC24</f>
        <v>0</v>
      </c>
    </row>
    <row r="39" spans="2:33" x14ac:dyDescent="0.25">
      <c r="B39" s="2"/>
      <c r="C39" s="2"/>
      <c r="D39" s="2"/>
      <c r="E39" s="70"/>
      <c r="F39" s="2"/>
      <c r="G39" s="2"/>
      <c r="H39" s="2"/>
      <c r="I39" s="129"/>
      <c r="J39" s="2"/>
      <c r="K39" s="70"/>
      <c r="L39" s="2"/>
      <c r="M39" s="2"/>
      <c r="N39" s="2"/>
      <c r="O39" s="129"/>
      <c r="P39" s="2" t="s">
        <v>38</v>
      </c>
      <c r="U39" s="129"/>
      <c r="X39" s="70"/>
      <c r="AA39" s="2"/>
      <c r="AB39" s="130"/>
      <c r="AC39" s="131"/>
    </row>
    <row r="40" spans="2:33" x14ac:dyDescent="0.25">
      <c r="E40" s="110"/>
      <c r="Q40" s="133"/>
      <c r="Y40" s="1"/>
      <c r="Z40" s="1"/>
    </row>
    <row r="41" spans="2:33" x14ac:dyDescent="0.25">
      <c r="S41" s="129"/>
      <c r="T41" s="129"/>
      <c r="U41" s="129"/>
      <c r="W41" s="130"/>
    </row>
  </sheetData>
  <mergeCells count="11">
    <mergeCell ref="AE6:AE7"/>
    <mergeCell ref="B6:B7"/>
    <mergeCell ref="C6:C7"/>
    <mergeCell ref="D6:I6"/>
    <mergeCell ref="J6:O6"/>
    <mergeCell ref="P6:U6"/>
    <mergeCell ref="Q3:T3"/>
    <mergeCell ref="C4:D4"/>
    <mergeCell ref="V6:AA6"/>
    <mergeCell ref="AB6:AB7"/>
    <mergeCell ref="AC6:AC7"/>
  </mergeCells>
  <pageMargins left="0.39370078740157483" right="0.39370078740157483" top="0.19685039370078741" bottom="0.19685039370078741" header="0" footer="0"/>
  <pageSetup paperSize="9" orientation="landscape" horizontalDpi="0" verticalDpi="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5">
    <pageSetUpPr fitToPage="1"/>
  </sheetPr>
  <dimension ref="A1:AO41"/>
  <sheetViews>
    <sheetView zoomScaleNormal="100" workbookViewId="0">
      <pane xSplit="3" topLeftCell="H1" activePane="topRight" state="frozen"/>
      <selection activeCell="AB8" sqref="AB8"/>
      <selection pane="topRight" activeCell="AA37" sqref="AA37"/>
    </sheetView>
  </sheetViews>
  <sheetFormatPr baseColWidth="10" defaultRowHeight="15" x14ac:dyDescent="0.25"/>
  <cols>
    <col min="1" max="1" width="1.7109375" style="1" customWidth="1"/>
    <col min="2" max="2" width="10" style="1" customWidth="1"/>
    <col min="3" max="3" width="29.140625" style="1" customWidth="1"/>
    <col min="4" max="4" width="5.7109375" style="1" customWidth="1"/>
    <col min="5" max="5" width="10.7109375" style="1" customWidth="1"/>
    <col min="6" max="6" width="5.7109375" style="1" customWidth="1"/>
    <col min="7" max="7" width="10.7109375" style="1" customWidth="1"/>
    <col min="8" max="8" width="5.7109375" style="1" customWidth="1"/>
    <col min="9" max="9" width="10.7109375" style="1" customWidth="1"/>
    <col min="10" max="10" width="5.7109375" style="1" hidden="1" customWidth="1"/>
    <col min="11" max="11" width="10.7109375" style="1" hidden="1" customWidth="1"/>
    <col min="12" max="12" width="5.7109375" style="1" hidden="1" customWidth="1"/>
    <col min="13" max="13" width="10.7109375" style="1" hidden="1" customWidth="1"/>
    <col min="14" max="14" width="5.7109375" style="1" hidden="1" customWidth="1"/>
    <col min="15" max="15" width="10.7109375" style="1" hidden="1" customWidth="1"/>
    <col min="16" max="16" width="5.7109375" style="2" customWidth="1"/>
    <col min="17" max="17" width="10.7109375" style="2" customWidth="1"/>
    <col min="18" max="18" width="5.7109375" style="2" customWidth="1"/>
    <col min="19" max="19" width="10.7109375" style="2" customWidth="1"/>
    <col min="20" max="20" width="5.7109375" style="2" customWidth="1"/>
    <col min="21" max="21" width="10.7109375" style="2" customWidth="1"/>
    <col min="22" max="22" width="5.7109375" style="2" customWidth="1"/>
    <col min="23" max="23" width="10.7109375" style="2" customWidth="1"/>
    <col min="24" max="24" width="5.7109375" style="2" customWidth="1"/>
    <col min="25" max="25" width="10.7109375" style="2" customWidth="1"/>
    <col min="26" max="26" width="5.7109375" style="2" customWidth="1"/>
    <col min="27" max="27" width="10.7109375" style="1" customWidth="1"/>
    <col min="28" max="28" width="9.5703125" style="1" customWidth="1"/>
    <col min="29" max="29" width="14.5703125" style="1" bestFit="1" customWidth="1"/>
    <col min="30" max="30" width="3.28515625" style="1" customWidth="1"/>
    <col min="31" max="31" width="11.42578125" style="1"/>
    <col min="32" max="32" width="3.7109375" style="1" customWidth="1"/>
    <col min="33" max="33" width="10.140625" style="1" customWidth="1"/>
    <col min="34" max="34" width="3.7109375" style="1" customWidth="1"/>
    <col min="35" max="35" width="11.42578125" style="1"/>
    <col min="36" max="36" width="3.7109375" style="1" customWidth="1"/>
    <col min="37" max="37" width="5.7109375" style="1" customWidth="1"/>
    <col min="38" max="38" width="3.7109375" style="1" customWidth="1"/>
    <col min="39" max="39" width="5.7109375" style="1" customWidth="1"/>
    <col min="40" max="40" width="3.7109375" style="1" customWidth="1"/>
    <col min="41" max="41" width="5.7109375" style="1" customWidth="1"/>
    <col min="42" max="16384" width="11.42578125" style="1"/>
  </cols>
  <sheetData>
    <row r="1" spans="1:39" ht="5.25" customHeight="1" x14ac:dyDescent="0.25">
      <c r="Y1" s="1"/>
      <c r="Z1" s="1"/>
    </row>
    <row r="2" spans="1:39" ht="21" x14ac:dyDescent="0.35">
      <c r="B2" s="3" t="s">
        <v>0</v>
      </c>
      <c r="P2" s="1"/>
      <c r="Q2" s="4"/>
      <c r="Z2" s="1"/>
    </row>
    <row r="3" spans="1:39" ht="15" customHeight="1" x14ac:dyDescent="0.25">
      <c r="A3" s="5"/>
      <c r="B3" s="6" t="s">
        <v>1</v>
      </c>
      <c r="C3" s="7"/>
      <c r="D3" s="7"/>
      <c r="E3" s="7"/>
      <c r="F3" s="7"/>
      <c r="P3" s="1"/>
      <c r="Q3" s="353"/>
      <c r="R3" s="353"/>
      <c r="S3" s="353"/>
      <c r="T3" s="353"/>
      <c r="U3" s="246"/>
      <c r="V3" s="246"/>
      <c r="Z3" s="1"/>
    </row>
    <row r="4" spans="1:39" ht="18" customHeight="1" x14ac:dyDescent="0.25">
      <c r="B4" s="247" t="s">
        <v>2</v>
      </c>
      <c r="C4" s="354" t="s">
        <v>62</v>
      </c>
      <c r="D4" s="355"/>
      <c r="E4" s="247"/>
      <c r="F4" s="247"/>
      <c r="P4" s="1"/>
      <c r="Q4" s="9"/>
      <c r="R4" s="10"/>
      <c r="S4" s="9"/>
      <c r="T4" s="9"/>
      <c r="U4" s="9"/>
      <c r="V4" s="9"/>
      <c r="Z4" s="1"/>
    </row>
    <row r="5" spans="1:39" ht="15.75" thickBot="1" x14ac:dyDescent="0.3">
      <c r="A5" s="247"/>
      <c r="B5" s="247"/>
      <c r="C5" s="247"/>
      <c r="D5" s="247"/>
      <c r="E5" s="247"/>
      <c r="J5" s="247"/>
      <c r="K5" s="247"/>
      <c r="P5" s="1"/>
      <c r="Q5" s="1"/>
      <c r="R5" s="1"/>
      <c r="S5" s="1"/>
      <c r="T5" s="1"/>
      <c r="U5" s="1"/>
      <c r="V5" s="9"/>
      <c r="W5" s="9"/>
      <c r="X5" s="9"/>
      <c r="Y5" s="9"/>
      <c r="Z5" s="9"/>
      <c r="AA5" s="9"/>
      <c r="AB5" s="2"/>
      <c r="AC5" s="2"/>
      <c r="AD5" s="2"/>
    </row>
    <row r="6" spans="1:39" ht="27.75" customHeight="1" thickBot="1" x14ac:dyDescent="0.3">
      <c r="B6" s="356" t="s">
        <v>3</v>
      </c>
      <c r="C6" s="343" t="s">
        <v>4</v>
      </c>
      <c r="D6" s="358" t="s">
        <v>43</v>
      </c>
      <c r="E6" s="359"/>
      <c r="F6" s="360"/>
      <c r="G6" s="360"/>
      <c r="H6" s="360"/>
      <c r="I6" s="361"/>
      <c r="J6" s="370" t="s">
        <v>37</v>
      </c>
      <c r="K6" s="371"/>
      <c r="L6" s="372"/>
      <c r="M6" s="372"/>
      <c r="N6" s="372"/>
      <c r="O6" s="373"/>
      <c r="P6" s="362" t="s">
        <v>42</v>
      </c>
      <c r="Q6" s="363"/>
      <c r="R6" s="364"/>
      <c r="S6" s="364"/>
      <c r="T6" s="364"/>
      <c r="U6" s="365"/>
      <c r="V6" s="366" t="s">
        <v>31</v>
      </c>
      <c r="W6" s="367"/>
      <c r="X6" s="368"/>
      <c r="Y6" s="368"/>
      <c r="Z6" s="368"/>
      <c r="AA6" s="369"/>
      <c r="AB6" s="349" t="s">
        <v>5</v>
      </c>
      <c r="AC6" s="349" t="s">
        <v>6</v>
      </c>
      <c r="AD6" s="2"/>
      <c r="AE6" s="351" t="s">
        <v>7</v>
      </c>
      <c r="AF6" s="2"/>
    </row>
    <row r="7" spans="1:39" ht="25.5" customHeight="1" thickBot="1" x14ac:dyDescent="0.3">
      <c r="B7" s="357"/>
      <c r="C7" s="344"/>
      <c r="D7" s="11" t="s">
        <v>8</v>
      </c>
      <c r="E7" s="12" t="s">
        <v>9</v>
      </c>
      <c r="F7" s="13" t="s">
        <v>8</v>
      </c>
      <c r="G7" s="14" t="s">
        <v>9</v>
      </c>
      <c r="H7" s="11" t="s">
        <v>5</v>
      </c>
      <c r="I7" s="14" t="s">
        <v>10</v>
      </c>
      <c r="J7" s="190" t="s">
        <v>8</v>
      </c>
      <c r="K7" s="192" t="s">
        <v>9</v>
      </c>
      <c r="L7" s="191" t="s">
        <v>8</v>
      </c>
      <c r="M7" s="192" t="s">
        <v>9</v>
      </c>
      <c r="N7" s="190" t="s">
        <v>5</v>
      </c>
      <c r="O7" s="192" t="s">
        <v>10</v>
      </c>
      <c r="P7" s="15" t="s">
        <v>8</v>
      </c>
      <c r="Q7" s="16" t="s">
        <v>9</v>
      </c>
      <c r="R7" s="17" t="s">
        <v>8</v>
      </c>
      <c r="S7" s="16" t="s">
        <v>9</v>
      </c>
      <c r="T7" s="15" t="s">
        <v>5</v>
      </c>
      <c r="U7" s="16" t="s">
        <v>10</v>
      </c>
      <c r="V7" s="18" t="s">
        <v>8</v>
      </c>
      <c r="W7" s="19" t="s">
        <v>9</v>
      </c>
      <c r="X7" s="20" t="s">
        <v>8</v>
      </c>
      <c r="Y7" s="21" t="s">
        <v>9</v>
      </c>
      <c r="Z7" s="18" t="s">
        <v>5</v>
      </c>
      <c r="AA7" s="21" t="s">
        <v>10</v>
      </c>
      <c r="AB7" s="350"/>
      <c r="AC7" s="350"/>
      <c r="AD7" s="2"/>
      <c r="AE7" s="352"/>
      <c r="AG7" s="22" t="s">
        <v>11</v>
      </c>
      <c r="AI7" s="22" t="s">
        <v>12</v>
      </c>
    </row>
    <row r="8" spans="1:39" x14ac:dyDescent="0.25">
      <c r="B8" s="173">
        <v>6320</v>
      </c>
      <c r="C8" s="157" t="s">
        <v>13</v>
      </c>
      <c r="D8" s="24"/>
      <c r="E8" s="25">
        <f>+D8*B8</f>
        <v>0</v>
      </c>
      <c r="F8" s="26">
        <v>6</v>
      </c>
      <c r="G8" s="27">
        <f>6320*6</f>
        <v>37920</v>
      </c>
      <c r="H8" s="28">
        <f>D8+F8</f>
        <v>6</v>
      </c>
      <c r="I8" s="29">
        <f>E8+G8</f>
        <v>37920</v>
      </c>
      <c r="J8" s="199"/>
      <c r="K8" s="249">
        <f>+J8*B8</f>
        <v>0</v>
      </c>
      <c r="L8" s="222"/>
      <c r="M8" s="202"/>
      <c r="N8" s="193">
        <f>J8+L8</f>
        <v>0</v>
      </c>
      <c r="O8" s="194">
        <f>K8+M8</f>
        <v>0</v>
      </c>
      <c r="P8" s="30"/>
      <c r="Q8" s="31">
        <f>+P8*B8</f>
        <v>0</v>
      </c>
      <c r="R8" s="32">
        <v>1</v>
      </c>
      <c r="S8" s="33">
        <v>6320</v>
      </c>
      <c r="T8" s="34">
        <f>P8+R8</f>
        <v>1</v>
      </c>
      <c r="U8" s="35">
        <f>Q8+S8</f>
        <v>6320</v>
      </c>
      <c r="V8" s="36"/>
      <c r="W8" s="37">
        <f t="shared" ref="W8:W19" si="0">+V8*B8</f>
        <v>0</v>
      </c>
      <c r="X8" s="38">
        <v>18</v>
      </c>
      <c r="Y8" s="39">
        <f>6320*18</f>
        <v>113760</v>
      </c>
      <c r="Z8" s="40">
        <f>V8+X8</f>
        <v>18</v>
      </c>
      <c r="AA8" s="41">
        <f>Y8+W8</f>
        <v>113760</v>
      </c>
      <c r="AB8" s="152">
        <f>+D8+F8+P8+R8+V8+X8+J8+L8</f>
        <v>25</v>
      </c>
      <c r="AC8" s="220">
        <f>+E8+G8+Q8+S8+W8+Y8+K8+M8</f>
        <v>158000</v>
      </c>
      <c r="AD8" s="44"/>
      <c r="AE8" s="45"/>
      <c r="AG8" s="268">
        <f>E8+W8+Q8+K8</f>
        <v>0</v>
      </c>
      <c r="AI8" s="340">
        <f>G8+Y8+S8+M8</f>
        <v>158000</v>
      </c>
      <c r="AK8" s="269">
        <f>F8+R8+X8+L8</f>
        <v>25</v>
      </c>
      <c r="AM8" s="139">
        <f>+D8+P8+V8+J8</f>
        <v>0</v>
      </c>
    </row>
    <row r="9" spans="1:39" x14ac:dyDescent="0.25">
      <c r="B9" s="174">
        <v>6320</v>
      </c>
      <c r="C9" s="180" t="s">
        <v>14</v>
      </c>
      <c r="D9" s="47"/>
      <c r="E9" s="48">
        <f t="shared" ref="E9:E19" si="1">+D9*B9</f>
        <v>0</v>
      </c>
      <c r="F9" s="49">
        <v>1</v>
      </c>
      <c r="G9" s="50">
        <v>6320</v>
      </c>
      <c r="H9" s="51">
        <f>D9+F9</f>
        <v>1</v>
      </c>
      <c r="I9" s="52">
        <f>G9+E9</f>
        <v>6320</v>
      </c>
      <c r="J9" s="203"/>
      <c r="K9" s="248">
        <f t="shared" ref="K9:K19" si="2">+J9*B9</f>
        <v>0</v>
      </c>
      <c r="L9" s="223"/>
      <c r="M9" s="206"/>
      <c r="N9" s="195">
        <f>J9+L9</f>
        <v>0</v>
      </c>
      <c r="O9" s="196">
        <f>M9+K9</f>
        <v>0</v>
      </c>
      <c r="P9" s="53"/>
      <c r="Q9" s="31">
        <f t="shared" ref="Q9:Q19" si="3">+P9*B9</f>
        <v>0</v>
      </c>
      <c r="R9" s="55">
        <v>7</v>
      </c>
      <c r="S9" s="56">
        <f>6320*7</f>
        <v>44240</v>
      </c>
      <c r="T9" s="57">
        <f>P9+R9</f>
        <v>7</v>
      </c>
      <c r="U9" s="58">
        <f>S9+Q9</f>
        <v>44240</v>
      </c>
      <c r="V9" s="59"/>
      <c r="W9" s="60">
        <f t="shared" si="0"/>
        <v>0</v>
      </c>
      <c r="X9" s="69">
        <v>7</v>
      </c>
      <c r="Y9" s="270">
        <f>6320*7</f>
        <v>44240</v>
      </c>
      <c r="Z9" s="63">
        <f>V9+X9</f>
        <v>7</v>
      </c>
      <c r="AA9" s="41">
        <f>Y9+W9</f>
        <v>44240</v>
      </c>
      <c r="AB9" s="152">
        <f t="shared" ref="AB9:AB22" si="4">+D9+F9+P9+R9+V9+X9+J9+L9</f>
        <v>15</v>
      </c>
      <c r="AC9" s="339">
        <f t="shared" ref="AC9:AC22" si="5">+E9+G9+Q9+S9+W9+Y9+K9+M9</f>
        <v>94800</v>
      </c>
      <c r="AD9" s="44"/>
      <c r="AE9" s="64"/>
      <c r="AG9" s="251">
        <f t="shared" ref="AG9:AG22" si="6">E9+W9+Q9+K9</f>
        <v>0</v>
      </c>
      <c r="AI9" s="151">
        <f t="shared" ref="AI9:AI22" si="7">G9+Y9+S9+M9</f>
        <v>94800</v>
      </c>
      <c r="AK9" s="142">
        <f t="shared" ref="AK9:AK22" si="8">F9+R9+X9+L9</f>
        <v>15</v>
      </c>
      <c r="AM9" s="142">
        <f t="shared" ref="AM9:AM22" si="9">+D9+P9+V9+J9</f>
        <v>0</v>
      </c>
    </row>
    <row r="10" spans="1:39" x14ac:dyDescent="0.25">
      <c r="B10" s="174">
        <v>6320</v>
      </c>
      <c r="C10" s="153" t="s">
        <v>16</v>
      </c>
      <c r="D10" s="47"/>
      <c r="E10" s="48">
        <f t="shared" si="1"/>
        <v>0</v>
      </c>
      <c r="F10" s="49"/>
      <c r="G10" s="50"/>
      <c r="H10" s="51">
        <f t="shared" ref="H10:H22" si="10">D10+F10</f>
        <v>0</v>
      </c>
      <c r="I10" s="52">
        <f t="shared" ref="I10:I22" si="11">G10+E10</f>
        <v>0</v>
      </c>
      <c r="J10" s="203"/>
      <c r="K10" s="248">
        <f t="shared" si="2"/>
        <v>0</v>
      </c>
      <c r="L10" s="223"/>
      <c r="M10" s="206"/>
      <c r="N10" s="195">
        <f t="shared" ref="N10:N22" si="12">J10+L10</f>
        <v>0</v>
      </c>
      <c r="O10" s="196">
        <f t="shared" ref="O10:O22" si="13">M10+K10</f>
        <v>0</v>
      </c>
      <c r="P10" s="53"/>
      <c r="Q10" s="31">
        <f t="shared" si="3"/>
        <v>0</v>
      </c>
      <c r="R10" s="55">
        <v>3</v>
      </c>
      <c r="S10" s="56">
        <f>6320*2+2528</f>
        <v>15168</v>
      </c>
      <c r="T10" s="57">
        <f t="shared" ref="T10:T22" si="14">P10+R10</f>
        <v>3</v>
      </c>
      <c r="U10" s="58">
        <f t="shared" ref="U10:U22" si="15">S10+Q10</f>
        <v>15168</v>
      </c>
      <c r="V10" s="59"/>
      <c r="W10" s="60">
        <f t="shared" si="0"/>
        <v>0</v>
      </c>
      <c r="X10" s="61">
        <v>5</v>
      </c>
      <c r="Y10" s="62">
        <f>6320*5</f>
        <v>31600</v>
      </c>
      <c r="Z10" s="63">
        <f t="shared" ref="Z10:Z22" si="16">V10+X10</f>
        <v>5</v>
      </c>
      <c r="AA10" s="41">
        <f t="shared" ref="AA10:AA22" si="17">Y10+W10</f>
        <v>31600</v>
      </c>
      <c r="AB10" s="152">
        <f t="shared" si="4"/>
        <v>8</v>
      </c>
      <c r="AC10" s="220">
        <f t="shared" si="5"/>
        <v>46768</v>
      </c>
      <c r="AD10" s="44"/>
      <c r="AE10" s="151">
        <v>3792</v>
      </c>
      <c r="AG10" s="218">
        <f t="shared" si="6"/>
        <v>0</v>
      </c>
      <c r="AI10" s="151">
        <f t="shared" si="7"/>
        <v>46768</v>
      </c>
      <c r="AK10" s="142">
        <f t="shared" si="8"/>
        <v>8</v>
      </c>
      <c r="AM10" s="142">
        <f t="shared" si="9"/>
        <v>0</v>
      </c>
    </row>
    <row r="11" spans="1:39" x14ac:dyDescent="0.25">
      <c r="B11" s="174">
        <v>6320</v>
      </c>
      <c r="C11" s="153" t="s">
        <v>17</v>
      </c>
      <c r="D11" s="65"/>
      <c r="E11" s="48">
        <f t="shared" si="1"/>
        <v>0</v>
      </c>
      <c r="F11" s="49"/>
      <c r="G11" s="50"/>
      <c r="H11" s="51">
        <f t="shared" si="10"/>
        <v>0</v>
      </c>
      <c r="I11" s="52">
        <f t="shared" si="11"/>
        <v>0</v>
      </c>
      <c r="J11" s="207"/>
      <c r="K11" s="248">
        <f t="shared" si="2"/>
        <v>0</v>
      </c>
      <c r="L11" s="223"/>
      <c r="M11" s="206"/>
      <c r="N11" s="195">
        <f t="shared" si="12"/>
        <v>0</v>
      </c>
      <c r="O11" s="196">
        <f t="shared" si="13"/>
        <v>0</v>
      </c>
      <c r="P11" s="66">
        <v>1</v>
      </c>
      <c r="Q11" s="31">
        <f t="shared" si="3"/>
        <v>6320</v>
      </c>
      <c r="R11" s="67">
        <v>10</v>
      </c>
      <c r="S11" s="56">
        <f>6320*8+2528+1264</f>
        <v>54352</v>
      </c>
      <c r="T11" s="57">
        <f t="shared" si="14"/>
        <v>11</v>
      </c>
      <c r="U11" s="58">
        <f t="shared" si="15"/>
        <v>60672</v>
      </c>
      <c r="V11" s="68"/>
      <c r="W11" s="60">
        <f t="shared" si="0"/>
        <v>0</v>
      </c>
      <c r="X11" s="69">
        <v>4</v>
      </c>
      <c r="Y11" s="62">
        <f>6320*4</f>
        <v>25280</v>
      </c>
      <c r="Z11" s="63">
        <f t="shared" si="16"/>
        <v>4</v>
      </c>
      <c r="AA11" s="41">
        <f t="shared" si="17"/>
        <v>25280</v>
      </c>
      <c r="AB11" s="152">
        <f t="shared" si="4"/>
        <v>15</v>
      </c>
      <c r="AC11" s="220">
        <f t="shared" si="5"/>
        <v>85952</v>
      </c>
      <c r="AD11" s="70"/>
      <c r="AE11" s="151">
        <f>3792+5056</f>
        <v>8848</v>
      </c>
      <c r="AG11" s="221">
        <f t="shared" si="6"/>
        <v>6320</v>
      </c>
      <c r="AI11" s="151">
        <f t="shared" si="7"/>
        <v>79632</v>
      </c>
      <c r="AK11" s="142">
        <f t="shared" si="8"/>
        <v>14</v>
      </c>
      <c r="AM11" s="142">
        <f t="shared" si="9"/>
        <v>1</v>
      </c>
    </row>
    <row r="12" spans="1:39" x14ac:dyDescent="0.25">
      <c r="B12" s="174">
        <v>6320</v>
      </c>
      <c r="C12" s="153" t="s">
        <v>18</v>
      </c>
      <c r="D12" s="65"/>
      <c r="E12" s="48">
        <f t="shared" si="1"/>
        <v>0</v>
      </c>
      <c r="F12" s="49"/>
      <c r="G12" s="50"/>
      <c r="H12" s="51">
        <f t="shared" si="10"/>
        <v>0</v>
      </c>
      <c r="I12" s="52">
        <f t="shared" si="11"/>
        <v>0</v>
      </c>
      <c r="J12" s="207"/>
      <c r="K12" s="248">
        <f t="shared" si="2"/>
        <v>0</v>
      </c>
      <c r="L12" s="223"/>
      <c r="M12" s="206"/>
      <c r="N12" s="195">
        <f t="shared" si="12"/>
        <v>0</v>
      </c>
      <c r="O12" s="196">
        <f t="shared" si="13"/>
        <v>0</v>
      </c>
      <c r="P12" s="66"/>
      <c r="Q12" s="31">
        <f t="shared" si="3"/>
        <v>0</v>
      </c>
      <c r="R12" s="67">
        <v>7</v>
      </c>
      <c r="S12" s="56">
        <f>6320*7</f>
        <v>44240</v>
      </c>
      <c r="T12" s="57">
        <f t="shared" si="14"/>
        <v>7</v>
      </c>
      <c r="U12" s="58">
        <f t="shared" si="15"/>
        <v>44240</v>
      </c>
      <c r="V12" s="68"/>
      <c r="W12" s="60">
        <f t="shared" si="0"/>
        <v>0</v>
      </c>
      <c r="X12" s="69">
        <v>6</v>
      </c>
      <c r="Y12" s="62">
        <f>1896+6320*5</f>
        <v>33496</v>
      </c>
      <c r="Z12" s="63">
        <f t="shared" si="16"/>
        <v>6</v>
      </c>
      <c r="AA12" s="41">
        <f t="shared" si="17"/>
        <v>33496</v>
      </c>
      <c r="AB12" s="152">
        <f t="shared" si="4"/>
        <v>13</v>
      </c>
      <c r="AC12" s="220">
        <f t="shared" si="5"/>
        <v>77736</v>
      </c>
      <c r="AD12" s="71"/>
      <c r="AE12" s="151">
        <v>4424</v>
      </c>
      <c r="AG12" s="218">
        <f t="shared" si="6"/>
        <v>0</v>
      </c>
      <c r="AI12" s="151">
        <f t="shared" si="7"/>
        <v>77736</v>
      </c>
      <c r="AK12" s="142">
        <f t="shared" si="8"/>
        <v>13</v>
      </c>
      <c r="AM12" s="142">
        <f t="shared" si="9"/>
        <v>0</v>
      </c>
    </row>
    <row r="13" spans="1:39" x14ac:dyDescent="0.25">
      <c r="B13" s="174">
        <v>6320</v>
      </c>
      <c r="C13" s="153" t="s">
        <v>19</v>
      </c>
      <c r="D13" s="65"/>
      <c r="E13" s="48">
        <f t="shared" si="1"/>
        <v>0</v>
      </c>
      <c r="F13" s="49"/>
      <c r="G13" s="50"/>
      <c r="H13" s="51">
        <f t="shared" si="10"/>
        <v>0</v>
      </c>
      <c r="I13" s="52">
        <f t="shared" si="11"/>
        <v>0</v>
      </c>
      <c r="J13" s="207"/>
      <c r="K13" s="248">
        <f t="shared" si="2"/>
        <v>0</v>
      </c>
      <c r="L13" s="223"/>
      <c r="M13" s="206"/>
      <c r="N13" s="195">
        <f t="shared" si="12"/>
        <v>0</v>
      </c>
      <c r="O13" s="196">
        <f t="shared" si="13"/>
        <v>0</v>
      </c>
      <c r="P13" s="66"/>
      <c r="Q13" s="31">
        <f t="shared" si="3"/>
        <v>0</v>
      </c>
      <c r="R13" s="67">
        <v>2</v>
      </c>
      <c r="S13" s="56">
        <f>6320*2</f>
        <v>12640</v>
      </c>
      <c r="T13" s="57">
        <f t="shared" si="14"/>
        <v>2</v>
      </c>
      <c r="U13" s="58">
        <f t="shared" si="15"/>
        <v>12640</v>
      </c>
      <c r="V13" s="68"/>
      <c r="W13" s="60">
        <f t="shared" si="0"/>
        <v>0</v>
      </c>
      <c r="X13" s="69"/>
      <c r="Y13" s="62"/>
      <c r="Z13" s="63">
        <f t="shared" si="16"/>
        <v>0</v>
      </c>
      <c r="AA13" s="41">
        <f t="shared" si="17"/>
        <v>0</v>
      </c>
      <c r="AB13" s="152">
        <f t="shared" si="4"/>
        <v>2</v>
      </c>
      <c r="AC13" s="220">
        <f t="shared" si="5"/>
        <v>12640</v>
      </c>
      <c r="AD13" s="70"/>
      <c r="AE13" s="64"/>
      <c r="AG13" s="218">
        <f t="shared" si="6"/>
        <v>0</v>
      </c>
      <c r="AI13" s="151">
        <f t="shared" si="7"/>
        <v>12640</v>
      </c>
      <c r="AK13" s="142">
        <f t="shared" si="8"/>
        <v>2</v>
      </c>
      <c r="AM13" s="142">
        <f t="shared" si="9"/>
        <v>0</v>
      </c>
    </row>
    <row r="14" spans="1:39" x14ac:dyDescent="0.25">
      <c r="B14" s="174">
        <v>6320</v>
      </c>
      <c r="C14" s="153" t="s">
        <v>20</v>
      </c>
      <c r="D14" s="65"/>
      <c r="E14" s="48">
        <f t="shared" si="1"/>
        <v>0</v>
      </c>
      <c r="F14" s="49"/>
      <c r="G14" s="50"/>
      <c r="H14" s="51">
        <f t="shared" si="10"/>
        <v>0</v>
      </c>
      <c r="I14" s="52">
        <f t="shared" si="11"/>
        <v>0</v>
      </c>
      <c r="J14" s="207"/>
      <c r="K14" s="248">
        <f t="shared" si="2"/>
        <v>0</v>
      </c>
      <c r="L14" s="223"/>
      <c r="M14" s="206"/>
      <c r="N14" s="195">
        <f t="shared" si="12"/>
        <v>0</v>
      </c>
      <c r="O14" s="196">
        <f t="shared" si="13"/>
        <v>0</v>
      </c>
      <c r="P14" s="66"/>
      <c r="Q14" s="31">
        <f t="shared" si="3"/>
        <v>0</v>
      </c>
      <c r="R14" s="67">
        <v>4</v>
      </c>
      <c r="S14" s="56">
        <f>6320*4</f>
        <v>25280</v>
      </c>
      <c r="T14" s="57">
        <f t="shared" si="14"/>
        <v>4</v>
      </c>
      <c r="U14" s="58">
        <f t="shared" si="15"/>
        <v>25280</v>
      </c>
      <c r="V14" s="68"/>
      <c r="W14" s="60">
        <f t="shared" si="0"/>
        <v>0</v>
      </c>
      <c r="X14" s="69">
        <v>1</v>
      </c>
      <c r="Y14" s="62">
        <v>6320</v>
      </c>
      <c r="Z14" s="63">
        <f t="shared" si="16"/>
        <v>1</v>
      </c>
      <c r="AA14" s="41">
        <f t="shared" si="17"/>
        <v>6320</v>
      </c>
      <c r="AB14" s="152">
        <f t="shared" si="4"/>
        <v>5</v>
      </c>
      <c r="AC14" s="220">
        <f t="shared" si="5"/>
        <v>31600</v>
      </c>
      <c r="AD14" s="70"/>
      <c r="AE14" s="64"/>
      <c r="AG14" s="218">
        <f t="shared" si="6"/>
        <v>0</v>
      </c>
      <c r="AI14" s="151">
        <f t="shared" si="7"/>
        <v>31600</v>
      </c>
      <c r="AK14" s="142">
        <f t="shared" si="8"/>
        <v>5</v>
      </c>
      <c r="AM14" s="142">
        <f t="shared" si="9"/>
        <v>0</v>
      </c>
    </row>
    <row r="15" spans="1:39" x14ac:dyDescent="0.25">
      <c r="B15" s="174">
        <v>6320</v>
      </c>
      <c r="C15" s="46" t="s">
        <v>21</v>
      </c>
      <c r="D15" s="65"/>
      <c r="E15" s="48">
        <f t="shared" si="1"/>
        <v>0</v>
      </c>
      <c r="F15" s="49"/>
      <c r="G15" s="50"/>
      <c r="H15" s="51">
        <f t="shared" si="10"/>
        <v>0</v>
      </c>
      <c r="I15" s="52">
        <f t="shared" si="11"/>
        <v>0</v>
      </c>
      <c r="J15" s="207"/>
      <c r="K15" s="248">
        <f t="shared" si="2"/>
        <v>0</v>
      </c>
      <c r="L15" s="223"/>
      <c r="M15" s="206"/>
      <c r="N15" s="195">
        <f t="shared" si="12"/>
        <v>0</v>
      </c>
      <c r="O15" s="196">
        <f t="shared" si="13"/>
        <v>0</v>
      </c>
      <c r="P15" s="66"/>
      <c r="Q15" s="31">
        <f t="shared" si="3"/>
        <v>0</v>
      </c>
      <c r="R15" s="67"/>
      <c r="S15" s="56"/>
      <c r="T15" s="57">
        <f t="shared" si="14"/>
        <v>0</v>
      </c>
      <c r="U15" s="58">
        <f t="shared" si="15"/>
        <v>0</v>
      </c>
      <c r="V15" s="68"/>
      <c r="W15" s="60">
        <f t="shared" si="0"/>
        <v>0</v>
      </c>
      <c r="X15" s="69"/>
      <c r="Y15" s="62"/>
      <c r="Z15" s="63">
        <f t="shared" si="16"/>
        <v>0</v>
      </c>
      <c r="AA15" s="41">
        <f t="shared" si="17"/>
        <v>0</v>
      </c>
      <c r="AB15" s="42">
        <f t="shared" si="4"/>
        <v>0</v>
      </c>
      <c r="AC15" s="188">
        <f t="shared" si="5"/>
        <v>0</v>
      </c>
      <c r="AD15" s="70"/>
      <c r="AE15" s="64"/>
      <c r="AG15" s="218">
        <f t="shared" si="6"/>
        <v>0</v>
      </c>
      <c r="AI15" s="64">
        <f t="shared" si="7"/>
        <v>0</v>
      </c>
      <c r="AK15" s="142">
        <f t="shared" si="8"/>
        <v>0</v>
      </c>
      <c r="AM15" s="142">
        <f t="shared" si="9"/>
        <v>0</v>
      </c>
    </row>
    <row r="16" spans="1:39" x14ac:dyDescent="0.25">
      <c r="B16" s="174" t="s">
        <v>26</v>
      </c>
      <c r="C16" s="46" t="s">
        <v>33</v>
      </c>
      <c r="D16" s="65"/>
      <c r="E16" s="48">
        <v>0</v>
      </c>
      <c r="F16" s="49"/>
      <c r="G16" s="50"/>
      <c r="H16" s="51">
        <f t="shared" si="10"/>
        <v>0</v>
      </c>
      <c r="I16" s="52">
        <f t="shared" si="11"/>
        <v>0</v>
      </c>
      <c r="J16" s="207"/>
      <c r="K16" s="248">
        <v>0</v>
      </c>
      <c r="L16" s="223"/>
      <c r="M16" s="206"/>
      <c r="N16" s="195">
        <f t="shared" si="12"/>
        <v>0</v>
      </c>
      <c r="O16" s="196">
        <f t="shared" si="13"/>
        <v>0</v>
      </c>
      <c r="P16" s="66"/>
      <c r="Q16" s="31">
        <v>0</v>
      </c>
      <c r="R16" s="67"/>
      <c r="S16" s="56"/>
      <c r="T16" s="57">
        <f t="shared" si="14"/>
        <v>0</v>
      </c>
      <c r="U16" s="58">
        <v>0</v>
      </c>
      <c r="V16" s="68"/>
      <c r="W16" s="60">
        <v>0</v>
      </c>
      <c r="X16" s="69"/>
      <c r="Y16" s="62"/>
      <c r="Z16" s="63">
        <f>+X16+V16</f>
        <v>0</v>
      </c>
      <c r="AA16" s="41">
        <f>+Y16+W16</f>
        <v>0</v>
      </c>
      <c r="AB16" s="42">
        <f t="shared" si="4"/>
        <v>0</v>
      </c>
      <c r="AC16" s="188">
        <f t="shared" si="5"/>
        <v>0</v>
      </c>
      <c r="AD16" s="70"/>
      <c r="AE16" s="64"/>
      <c r="AG16" s="218">
        <f t="shared" si="6"/>
        <v>0</v>
      </c>
      <c r="AI16" s="64">
        <f t="shared" si="7"/>
        <v>0</v>
      </c>
      <c r="AK16" s="142">
        <f t="shared" si="8"/>
        <v>0</v>
      </c>
      <c r="AM16" s="142">
        <f t="shared" si="9"/>
        <v>0</v>
      </c>
    </row>
    <row r="17" spans="2:41" x14ac:dyDescent="0.25">
      <c r="B17" s="175">
        <v>14010</v>
      </c>
      <c r="C17" s="46" t="s">
        <v>23</v>
      </c>
      <c r="D17" s="65"/>
      <c r="E17" s="48">
        <f t="shared" si="1"/>
        <v>0</v>
      </c>
      <c r="F17" s="49"/>
      <c r="G17" s="50"/>
      <c r="H17" s="51">
        <f t="shared" si="10"/>
        <v>0</v>
      </c>
      <c r="I17" s="52">
        <f t="shared" si="11"/>
        <v>0</v>
      </c>
      <c r="J17" s="207"/>
      <c r="K17" s="248">
        <f t="shared" si="2"/>
        <v>0</v>
      </c>
      <c r="L17" s="223"/>
      <c r="M17" s="206"/>
      <c r="N17" s="195">
        <f t="shared" si="12"/>
        <v>0</v>
      </c>
      <c r="O17" s="196">
        <f t="shared" si="13"/>
        <v>0</v>
      </c>
      <c r="P17" s="66"/>
      <c r="Q17" s="31">
        <f t="shared" si="3"/>
        <v>0</v>
      </c>
      <c r="R17" s="67"/>
      <c r="S17" s="56"/>
      <c r="T17" s="57">
        <f t="shared" si="14"/>
        <v>0</v>
      </c>
      <c r="U17" s="58">
        <f t="shared" si="15"/>
        <v>0</v>
      </c>
      <c r="V17" s="68"/>
      <c r="W17" s="60">
        <f t="shared" si="0"/>
        <v>0</v>
      </c>
      <c r="X17" s="69"/>
      <c r="Y17" s="62"/>
      <c r="Z17" s="63">
        <f t="shared" si="16"/>
        <v>0</v>
      </c>
      <c r="AA17" s="41">
        <f t="shared" si="17"/>
        <v>0</v>
      </c>
      <c r="AB17" s="42">
        <f t="shared" si="4"/>
        <v>0</v>
      </c>
      <c r="AC17" s="188">
        <f t="shared" si="5"/>
        <v>0</v>
      </c>
      <c r="AD17" s="70"/>
      <c r="AE17" s="64"/>
      <c r="AG17" s="218">
        <f t="shared" si="6"/>
        <v>0</v>
      </c>
      <c r="AI17" s="64">
        <f t="shared" si="7"/>
        <v>0</v>
      </c>
      <c r="AK17" s="142">
        <f t="shared" si="8"/>
        <v>0</v>
      </c>
      <c r="AM17" s="142">
        <f t="shared" si="9"/>
        <v>0</v>
      </c>
    </row>
    <row r="18" spans="2:41" x14ac:dyDescent="0.25">
      <c r="B18" s="174">
        <v>11870</v>
      </c>
      <c r="C18" s="46" t="s">
        <v>24</v>
      </c>
      <c r="D18" s="65"/>
      <c r="E18" s="48">
        <f t="shared" si="1"/>
        <v>0</v>
      </c>
      <c r="F18" s="49"/>
      <c r="G18" s="50"/>
      <c r="H18" s="51">
        <f t="shared" si="10"/>
        <v>0</v>
      </c>
      <c r="I18" s="52">
        <f t="shared" si="11"/>
        <v>0</v>
      </c>
      <c r="J18" s="207"/>
      <c r="K18" s="248">
        <f t="shared" si="2"/>
        <v>0</v>
      </c>
      <c r="L18" s="223"/>
      <c r="M18" s="206"/>
      <c r="N18" s="195">
        <f t="shared" si="12"/>
        <v>0</v>
      </c>
      <c r="O18" s="196">
        <f t="shared" si="13"/>
        <v>0</v>
      </c>
      <c r="P18" s="66"/>
      <c r="Q18" s="31">
        <f t="shared" si="3"/>
        <v>0</v>
      </c>
      <c r="R18" s="67"/>
      <c r="S18" s="56"/>
      <c r="T18" s="57">
        <f t="shared" si="14"/>
        <v>0</v>
      </c>
      <c r="U18" s="58">
        <f t="shared" si="15"/>
        <v>0</v>
      </c>
      <c r="V18" s="68"/>
      <c r="W18" s="60">
        <f t="shared" si="0"/>
        <v>0</v>
      </c>
      <c r="X18" s="69"/>
      <c r="Y18" s="62"/>
      <c r="Z18" s="63">
        <f t="shared" si="16"/>
        <v>0</v>
      </c>
      <c r="AA18" s="41">
        <f t="shared" si="17"/>
        <v>0</v>
      </c>
      <c r="AB18" s="42">
        <f t="shared" si="4"/>
        <v>0</v>
      </c>
      <c r="AC18" s="188">
        <f t="shared" si="5"/>
        <v>0</v>
      </c>
      <c r="AD18" s="70"/>
      <c r="AE18" s="64"/>
      <c r="AG18" s="218">
        <f t="shared" si="6"/>
        <v>0</v>
      </c>
      <c r="AI18" s="64">
        <f t="shared" si="7"/>
        <v>0</v>
      </c>
      <c r="AK18" s="142">
        <f t="shared" si="8"/>
        <v>0</v>
      </c>
      <c r="AM18" s="142">
        <f t="shared" si="9"/>
        <v>0</v>
      </c>
    </row>
    <row r="19" spans="2:41" x14ac:dyDescent="0.25">
      <c r="B19" s="174">
        <v>6710</v>
      </c>
      <c r="C19" s="46" t="s">
        <v>0</v>
      </c>
      <c r="D19" s="65"/>
      <c r="E19" s="48">
        <f t="shared" si="1"/>
        <v>0</v>
      </c>
      <c r="F19" s="72"/>
      <c r="G19" s="50"/>
      <c r="H19" s="51">
        <f t="shared" si="10"/>
        <v>0</v>
      </c>
      <c r="I19" s="52">
        <f t="shared" si="11"/>
        <v>0</v>
      </c>
      <c r="J19" s="207"/>
      <c r="K19" s="248">
        <f t="shared" si="2"/>
        <v>0</v>
      </c>
      <c r="L19" s="224"/>
      <c r="M19" s="206"/>
      <c r="N19" s="195">
        <f t="shared" si="12"/>
        <v>0</v>
      </c>
      <c r="O19" s="196">
        <f t="shared" si="13"/>
        <v>0</v>
      </c>
      <c r="P19" s="66"/>
      <c r="Q19" s="31">
        <f t="shared" si="3"/>
        <v>0</v>
      </c>
      <c r="R19" s="73"/>
      <c r="S19" s="56"/>
      <c r="T19" s="57">
        <f t="shared" si="14"/>
        <v>0</v>
      </c>
      <c r="U19" s="58">
        <f t="shared" si="15"/>
        <v>0</v>
      </c>
      <c r="V19" s="68"/>
      <c r="W19" s="60">
        <f t="shared" si="0"/>
        <v>0</v>
      </c>
      <c r="X19" s="74"/>
      <c r="Y19" s="62"/>
      <c r="Z19" s="63">
        <f t="shared" si="16"/>
        <v>0</v>
      </c>
      <c r="AA19" s="41">
        <f t="shared" si="17"/>
        <v>0</v>
      </c>
      <c r="AB19" s="42">
        <f t="shared" si="4"/>
        <v>0</v>
      </c>
      <c r="AC19" s="188">
        <f t="shared" si="5"/>
        <v>0</v>
      </c>
      <c r="AD19" s="70"/>
      <c r="AE19" s="64"/>
      <c r="AF19" s="1" t="s">
        <v>25</v>
      </c>
      <c r="AG19" s="218">
        <f t="shared" si="6"/>
        <v>0</v>
      </c>
      <c r="AI19" s="64">
        <f t="shared" si="7"/>
        <v>0</v>
      </c>
      <c r="AK19" s="142">
        <f t="shared" si="8"/>
        <v>0</v>
      </c>
      <c r="AM19" s="142">
        <f t="shared" si="9"/>
        <v>0</v>
      </c>
    </row>
    <row r="20" spans="2:41" x14ac:dyDescent="0.25">
      <c r="B20" s="174" t="s">
        <v>26</v>
      </c>
      <c r="C20" s="46" t="s">
        <v>0</v>
      </c>
      <c r="D20" s="65"/>
      <c r="E20" s="48">
        <v>0</v>
      </c>
      <c r="F20" s="49"/>
      <c r="G20" s="50"/>
      <c r="H20" s="51">
        <f t="shared" si="10"/>
        <v>0</v>
      </c>
      <c r="I20" s="52">
        <f t="shared" si="11"/>
        <v>0</v>
      </c>
      <c r="J20" s="207"/>
      <c r="K20" s="248">
        <v>0</v>
      </c>
      <c r="L20" s="223"/>
      <c r="M20" s="206"/>
      <c r="N20" s="195">
        <f t="shared" si="12"/>
        <v>0</v>
      </c>
      <c r="O20" s="196">
        <f t="shared" si="13"/>
        <v>0</v>
      </c>
      <c r="P20" s="66"/>
      <c r="Q20" s="31">
        <v>0</v>
      </c>
      <c r="R20" s="67"/>
      <c r="S20" s="56"/>
      <c r="T20" s="57">
        <f t="shared" si="14"/>
        <v>0</v>
      </c>
      <c r="U20" s="58">
        <f t="shared" si="15"/>
        <v>0</v>
      </c>
      <c r="V20" s="68"/>
      <c r="W20" s="60">
        <v>0</v>
      </c>
      <c r="X20" s="69"/>
      <c r="Y20" s="62"/>
      <c r="Z20" s="63">
        <f t="shared" si="16"/>
        <v>0</v>
      </c>
      <c r="AA20" s="41">
        <f t="shared" si="17"/>
        <v>0</v>
      </c>
      <c r="AB20" s="42">
        <f t="shared" si="4"/>
        <v>0</v>
      </c>
      <c r="AC20" s="188">
        <f t="shared" si="5"/>
        <v>0</v>
      </c>
      <c r="AD20" s="70"/>
      <c r="AE20" s="64"/>
      <c r="AG20" s="218">
        <f t="shared" si="6"/>
        <v>0</v>
      </c>
      <c r="AI20" s="64">
        <f t="shared" si="7"/>
        <v>0</v>
      </c>
      <c r="AK20" s="142">
        <f t="shared" si="8"/>
        <v>0</v>
      </c>
      <c r="AM20" s="142">
        <f t="shared" si="9"/>
        <v>0</v>
      </c>
    </row>
    <row r="21" spans="2:41" x14ac:dyDescent="0.25">
      <c r="B21" s="174" t="s">
        <v>26</v>
      </c>
      <c r="C21" s="153" t="s">
        <v>28</v>
      </c>
      <c r="D21" s="65"/>
      <c r="E21" s="75">
        <v>0</v>
      </c>
      <c r="F21" s="49">
        <v>2</v>
      </c>
      <c r="G21" s="50">
        <f>24700*2</f>
        <v>49400</v>
      </c>
      <c r="H21" s="51">
        <f t="shared" si="10"/>
        <v>2</v>
      </c>
      <c r="I21" s="52">
        <f t="shared" si="11"/>
        <v>49400</v>
      </c>
      <c r="J21" s="207"/>
      <c r="K21" s="248">
        <v>0</v>
      </c>
      <c r="L21" s="223"/>
      <c r="M21" s="206"/>
      <c r="N21" s="195">
        <f t="shared" si="12"/>
        <v>0</v>
      </c>
      <c r="O21" s="196">
        <f t="shared" si="13"/>
        <v>0</v>
      </c>
      <c r="P21" s="66"/>
      <c r="Q21" s="31">
        <v>0</v>
      </c>
      <c r="R21" s="67">
        <v>10</v>
      </c>
      <c r="S21" s="56">
        <f>13750*2+17160*6+24700*2</f>
        <v>179860</v>
      </c>
      <c r="T21" s="57">
        <f t="shared" si="14"/>
        <v>10</v>
      </c>
      <c r="U21" s="58">
        <f t="shared" si="15"/>
        <v>179860</v>
      </c>
      <c r="V21" s="68"/>
      <c r="W21" s="60">
        <v>0</v>
      </c>
      <c r="X21" s="69">
        <v>3</v>
      </c>
      <c r="Y21" s="62">
        <f>13750+24700*2</f>
        <v>63150</v>
      </c>
      <c r="Z21" s="63">
        <f t="shared" si="16"/>
        <v>3</v>
      </c>
      <c r="AA21" s="41">
        <f t="shared" si="17"/>
        <v>63150</v>
      </c>
      <c r="AB21" s="152">
        <f t="shared" si="4"/>
        <v>15</v>
      </c>
      <c r="AC21" s="220">
        <f t="shared" si="5"/>
        <v>292410</v>
      </c>
      <c r="AD21" s="70"/>
      <c r="AE21" s="64"/>
      <c r="AG21" s="218">
        <f t="shared" si="6"/>
        <v>0</v>
      </c>
      <c r="AI21" s="151">
        <f t="shared" si="7"/>
        <v>292410</v>
      </c>
      <c r="AK21" s="142">
        <f t="shared" si="8"/>
        <v>15</v>
      </c>
      <c r="AM21" s="142">
        <f t="shared" si="9"/>
        <v>0</v>
      </c>
    </row>
    <row r="22" spans="2:41" ht="15.75" thickBot="1" x14ac:dyDescent="0.3">
      <c r="B22" s="176" t="s">
        <v>26</v>
      </c>
      <c r="C22" s="155" t="s">
        <v>29</v>
      </c>
      <c r="D22" s="77"/>
      <c r="E22" s="78">
        <v>0</v>
      </c>
      <c r="F22" s="79">
        <v>2</v>
      </c>
      <c r="G22" s="80">
        <f>7490+20830</f>
        <v>28320</v>
      </c>
      <c r="H22" s="81">
        <f t="shared" si="10"/>
        <v>2</v>
      </c>
      <c r="I22" s="82">
        <f t="shared" si="11"/>
        <v>28320</v>
      </c>
      <c r="J22" s="210"/>
      <c r="K22" s="250">
        <v>0</v>
      </c>
      <c r="L22" s="225"/>
      <c r="M22" s="213"/>
      <c r="N22" s="197">
        <f t="shared" si="12"/>
        <v>0</v>
      </c>
      <c r="O22" s="198">
        <f t="shared" si="13"/>
        <v>0</v>
      </c>
      <c r="P22" s="83"/>
      <c r="Q22" s="84">
        <v>0</v>
      </c>
      <c r="R22" s="85">
        <v>2</v>
      </c>
      <c r="S22" s="86">
        <f>13180+22200</f>
        <v>35380</v>
      </c>
      <c r="T22" s="87">
        <f t="shared" si="14"/>
        <v>2</v>
      </c>
      <c r="U22" s="88">
        <f t="shared" si="15"/>
        <v>35380</v>
      </c>
      <c r="V22" s="89"/>
      <c r="W22" s="60">
        <v>0</v>
      </c>
      <c r="X22" s="90">
        <v>9</v>
      </c>
      <c r="Y22" s="91">
        <f>12419+17930+26720+13040+20830+14980+13180*2+13920</f>
        <v>146199</v>
      </c>
      <c r="Z22" s="92">
        <f t="shared" si="16"/>
        <v>9</v>
      </c>
      <c r="AA22" s="93">
        <f t="shared" si="17"/>
        <v>146199</v>
      </c>
      <c r="AB22" s="152">
        <f t="shared" si="4"/>
        <v>13</v>
      </c>
      <c r="AC22" s="220">
        <f t="shared" si="5"/>
        <v>209899</v>
      </c>
      <c r="AD22" s="70"/>
      <c r="AE22" s="154">
        <v>15421</v>
      </c>
      <c r="AG22" s="219">
        <f t="shared" si="6"/>
        <v>0</v>
      </c>
      <c r="AI22" s="154">
        <f t="shared" si="7"/>
        <v>209899</v>
      </c>
      <c r="AK22" s="144">
        <f t="shared" si="8"/>
        <v>13</v>
      </c>
      <c r="AM22" s="144">
        <f t="shared" si="9"/>
        <v>0</v>
      </c>
    </row>
    <row r="23" spans="2:41" ht="15.75" thickBot="1" x14ac:dyDescent="0.3">
      <c r="D23" s="95">
        <f t="shared" ref="D23:I23" si="18">SUM(D8:D22)</f>
        <v>0</v>
      </c>
      <c r="E23" s="96">
        <f t="shared" si="18"/>
        <v>0</v>
      </c>
      <c r="F23" s="95">
        <f t="shared" si="18"/>
        <v>11</v>
      </c>
      <c r="G23" s="97">
        <f t="shared" si="18"/>
        <v>121960</v>
      </c>
      <c r="H23" s="98">
        <f t="shared" si="18"/>
        <v>11</v>
      </c>
      <c r="I23" s="99">
        <f t="shared" si="18"/>
        <v>121960</v>
      </c>
      <c r="J23" s="214">
        <f t="shared" ref="J23:O23" si="19">SUM(J8:J22)</f>
        <v>0</v>
      </c>
      <c r="K23" s="226">
        <f t="shared" si="19"/>
        <v>0</v>
      </c>
      <c r="L23" s="214">
        <f t="shared" si="19"/>
        <v>0</v>
      </c>
      <c r="M23" s="216">
        <f t="shared" si="19"/>
        <v>0</v>
      </c>
      <c r="N23" s="217">
        <f t="shared" si="19"/>
        <v>0</v>
      </c>
      <c r="O23" s="99">
        <f t="shared" si="19"/>
        <v>0</v>
      </c>
      <c r="P23" s="100">
        <f t="shared" ref="P23:AA23" si="20">SUM(P8:P22)</f>
        <v>1</v>
      </c>
      <c r="Q23" s="101">
        <f t="shared" si="20"/>
        <v>6320</v>
      </c>
      <c r="R23" s="100">
        <f t="shared" si="20"/>
        <v>46</v>
      </c>
      <c r="S23" s="102">
        <f t="shared" si="20"/>
        <v>417480</v>
      </c>
      <c r="T23" s="103">
        <f t="shared" si="20"/>
        <v>47</v>
      </c>
      <c r="U23" s="104">
        <f t="shared" si="20"/>
        <v>423800</v>
      </c>
      <c r="V23" s="105">
        <f t="shared" si="20"/>
        <v>0</v>
      </c>
      <c r="W23" s="106">
        <f t="shared" si="20"/>
        <v>0</v>
      </c>
      <c r="X23" s="105">
        <f t="shared" si="20"/>
        <v>53</v>
      </c>
      <c r="Y23" s="107">
        <f t="shared" si="20"/>
        <v>464045</v>
      </c>
      <c r="Z23" s="108">
        <f t="shared" si="20"/>
        <v>53</v>
      </c>
      <c r="AA23" s="104">
        <f t="shared" si="20"/>
        <v>464045</v>
      </c>
      <c r="AB23" s="109" t="s">
        <v>9</v>
      </c>
      <c r="AC23" s="43">
        <f>SUM(AC8:AC22)</f>
        <v>1009805</v>
      </c>
      <c r="AD23" s="70"/>
      <c r="AE23" s="1">
        <f>SUM(AE8:AE22)</f>
        <v>32485</v>
      </c>
      <c r="AI23" s="110"/>
      <c r="AK23" s="1">
        <f>SUM(AK8:AK22)</f>
        <v>110</v>
      </c>
      <c r="AM23" s="1">
        <f>SUM(AM8:AM22)</f>
        <v>1</v>
      </c>
      <c r="AO23" s="1">
        <f>+AK23+AM23</f>
        <v>111</v>
      </c>
    </row>
    <row r="24" spans="2:41" x14ac:dyDescent="0.25">
      <c r="G24" s="111"/>
      <c r="H24" s="111"/>
      <c r="I24" s="111"/>
      <c r="M24" s="111"/>
      <c r="N24" s="111"/>
      <c r="O24" s="111"/>
      <c r="P24" s="111"/>
      <c r="Q24" s="111"/>
      <c r="R24" s="112">
        <f>X23+F23+R23+L23</f>
        <v>110</v>
      </c>
      <c r="S24" s="113">
        <f>G23+Y23+S23+M23</f>
        <v>1003485</v>
      </c>
      <c r="T24" s="111"/>
      <c r="U24" s="111"/>
      <c r="V24" s="111"/>
      <c r="W24" s="111"/>
      <c r="X24" s="111"/>
      <c r="Y24" s="111"/>
      <c r="Z24" s="111"/>
      <c r="AA24" s="111"/>
      <c r="AB24" s="2"/>
      <c r="AC24" s="70">
        <f>AA23+U23+I23+O23</f>
        <v>1009805</v>
      </c>
      <c r="AD24" s="2"/>
    </row>
    <row r="25" spans="2:41" x14ac:dyDescent="0.25">
      <c r="D25" s="114" t="s">
        <v>30</v>
      </c>
      <c r="E25" s="114"/>
      <c r="G25" s="114"/>
      <c r="H25" s="114"/>
      <c r="I25" s="114"/>
      <c r="J25" s="114" t="s">
        <v>30</v>
      </c>
      <c r="K25" s="114"/>
      <c r="M25" s="114"/>
      <c r="N25" s="114"/>
      <c r="O25" s="114"/>
      <c r="P25" s="114"/>
      <c r="Q25" s="114"/>
      <c r="R25" s="114"/>
      <c r="S25" s="114"/>
      <c r="T25" s="114"/>
      <c r="U25" s="114"/>
      <c r="AA25" s="2"/>
      <c r="AB25" s="2"/>
      <c r="AC25" s="2"/>
      <c r="AD25" s="2"/>
    </row>
    <row r="26" spans="2:41" x14ac:dyDescent="0.25">
      <c r="D26" s="114"/>
      <c r="E26" s="114"/>
      <c r="J26" s="114"/>
      <c r="K26" s="114"/>
      <c r="P26" s="1"/>
      <c r="Q26" s="1"/>
      <c r="R26" s="1"/>
      <c r="S26" s="1"/>
      <c r="T26" s="1"/>
      <c r="U26" s="1"/>
      <c r="AA26" s="2"/>
      <c r="AB26" s="2"/>
      <c r="AC26" s="2"/>
      <c r="AD26" s="2"/>
    </row>
    <row r="27" spans="2:41" x14ac:dyDescent="0.25">
      <c r="C27" s="115">
        <v>20000</v>
      </c>
      <c r="D27" s="115"/>
      <c r="E27" s="115"/>
      <c r="F27" s="116"/>
      <c r="G27" s="117"/>
      <c r="H27" s="118"/>
      <c r="I27" s="119">
        <v>80000</v>
      </c>
      <c r="J27" s="115"/>
      <c r="K27" s="115"/>
      <c r="L27" s="116"/>
      <c r="M27" s="117"/>
      <c r="N27" s="118"/>
      <c r="O27" s="119"/>
      <c r="P27" s="119"/>
      <c r="Q27" s="119"/>
      <c r="R27" s="119"/>
      <c r="S27" s="119"/>
      <c r="T27" s="119"/>
      <c r="U27" s="119">
        <v>200000</v>
      </c>
      <c r="V27" s="119"/>
      <c r="W27" s="119"/>
      <c r="X27" s="120"/>
      <c r="Y27" s="121"/>
      <c r="Z27" s="120"/>
      <c r="AA27" s="119">
        <v>100000</v>
      </c>
      <c r="AB27" s="122"/>
      <c r="AC27" s="122"/>
      <c r="AD27" s="2"/>
      <c r="AE27" s="2"/>
      <c r="AF27" s="2"/>
    </row>
    <row r="28" spans="2:41" x14ac:dyDescent="0.25">
      <c r="C28" s="115">
        <v>10000</v>
      </c>
      <c r="D28" s="115"/>
      <c r="E28" s="115"/>
      <c r="F28" s="116"/>
      <c r="G28" s="117"/>
      <c r="H28" s="118"/>
      <c r="I28" s="119">
        <v>40000</v>
      </c>
      <c r="J28" s="115"/>
      <c r="K28" s="115"/>
      <c r="L28" s="116"/>
      <c r="M28" s="117"/>
      <c r="N28" s="118"/>
      <c r="O28" s="119"/>
      <c r="P28" s="119"/>
      <c r="Q28" s="119"/>
      <c r="R28" s="119"/>
      <c r="S28" s="119"/>
      <c r="T28" s="119"/>
      <c r="U28" s="119">
        <v>220000</v>
      </c>
      <c r="V28" s="119"/>
      <c r="W28" s="119"/>
      <c r="X28" s="120"/>
      <c r="Y28" s="122"/>
      <c r="Z28" s="120"/>
      <c r="AA28" s="119">
        <v>90000</v>
      </c>
      <c r="AB28" s="122"/>
      <c r="AC28" s="122"/>
      <c r="AD28" s="2"/>
      <c r="AE28" s="2"/>
      <c r="AF28" s="2"/>
    </row>
    <row r="29" spans="2:41" x14ac:dyDescent="0.25">
      <c r="C29" s="115">
        <v>5000</v>
      </c>
      <c r="D29" s="115"/>
      <c r="E29" s="115"/>
      <c r="F29" s="116"/>
      <c r="G29" s="117"/>
      <c r="H29" s="118"/>
      <c r="I29" s="119">
        <v>0</v>
      </c>
      <c r="J29" s="115"/>
      <c r="K29" s="115"/>
      <c r="L29" s="116"/>
      <c r="M29" s="117"/>
      <c r="N29" s="118"/>
      <c r="O29" s="119"/>
      <c r="P29" s="119"/>
      <c r="Q29" s="119"/>
      <c r="R29" s="119"/>
      <c r="S29" s="119"/>
      <c r="T29" s="119"/>
      <c r="U29" s="119">
        <v>0</v>
      </c>
      <c r="V29" s="119"/>
      <c r="W29" s="119"/>
      <c r="X29" s="120"/>
      <c r="Y29" s="121"/>
      <c r="Z29" s="120"/>
      <c r="AA29" s="119">
        <v>5000</v>
      </c>
      <c r="AB29" s="122"/>
      <c r="AC29" s="122"/>
      <c r="AD29" s="2"/>
      <c r="AE29" s="2"/>
      <c r="AF29" s="2"/>
    </row>
    <row r="30" spans="2:41" x14ac:dyDescent="0.25">
      <c r="C30" s="115">
        <v>2000</v>
      </c>
      <c r="D30" s="115"/>
      <c r="E30" s="115"/>
      <c r="F30" s="116"/>
      <c r="G30" s="117"/>
      <c r="H30" s="118"/>
      <c r="I30" s="119">
        <v>2000</v>
      </c>
      <c r="J30" s="115"/>
      <c r="K30" s="115"/>
      <c r="L30" s="116"/>
      <c r="M30" s="117"/>
      <c r="N30" s="118"/>
      <c r="O30" s="119"/>
      <c r="P30" s="119"/>
      <c r="Q30" s="119"/>
      <c r="R30" s="119"/>
      <c r="S30" s="119"/>
      <c r="T30" s="119"/>
      <c r="U30" s="119">
        <v>0</v>
      </c>
      <c r="V30" s="119"/>
      <c r="W30" s="119"/>
      <c r="X30" s="120"/>
      <c r="Y30" s="121"/>
      <c r="Z30" s="120"/>
      <c r="AA30" s="119">
        <v>2000</v>
      </c>
      <c r="AB30" s="122"/>
      <c r="AC30" s="122"/>
      <c r="AD30" s="123"/>
    </row>
    <row r="31" spans="2:41" x14ac:dyDescent="0.25">
      <c r="C31" s="115">
        <v>1000</v>
      </c>
      <c r="D31" s="115"/>
      <c r="E31" s="115"/>
      <c r="F31" s="116"/>
      <c r="G31" s="117"/>
      <c r="H31" s="118"/>
      <c r="I31" s="124">
        <v>0</v>
      </c>
      <c r="J31" s="115"/>
      <c r="K31" s="115"/>
      <c r="L31" s="116"/>
      <c r="M31" s="117"/>
      <c r="N31" s="118"/>
      <c r="O31" s="124"/>
      <c r="P31" s="124"/>
      <c r="Q31" s="124"/>
      <c r="R31" s="124"/>
      <c r="S31" s="124"/>
      <c r="T31" s="124"/>
      <c r="U31" s="124">
        <v>3000</v>
      </c>
      <c r="V31" s="124"/>
      <c r="W31" s="124"/>
      <c r="X31" s="120"/>
      <c r="Y31" s="121"/>
      <c r="Z31" s="120"/>
      <c r="AA31" s="124">
        <v>1000</v>
      </c>
      <c r="AB31" s="122"/>
      <c r="AC31" s="122"/>
      <c r="AD31" s="2"/>
    </row>
    <row r="32" spans="2:41" x14ac:dyDescent="0.25">
      <c r="C32" s="115">
        <v>500</v>
      </c>
      <c r="D32" s="115"/>
      <c r="E32" s="115"/>
      <c r="F32" s="116"/>
      <c r="G32" s="117"/>
      <c r="H32" s="118"/>
      <c r="I32" s="119">
        <v>0</v>
      </c>
      <c r="J32" s="115"/>
      <c r="K32" s="115"/>
      <c r="L32" s="116"/>
      <c r="M32" s="117"/>
      <c r="N32" s="118"/>
      <c r="O32" s="119"/>
      <c r="P32" s="119"/>
      <c r="Q32" s="119"/>
      <c r="R32" s="119"/>
      <c r="S32" s="119"/>
      <c r="T32" s="119"/>
      <c r="U32" s="119">
        <v>500</v>
      </c>
      <c r="V32" s="119"/>
      <c r="W32" s="119"/>
      <c r="X32" s="120"/>
      <c r="Y32" s="121"/>
      <c r="Z32" s="120"/>
      <c r="AA32" s="119">
        <v>500</v>
      </c>
      <c r="AB32" s="121"/>
      <c r="AC32" s="121"/>
      <c r="AD32" s="2"/>
    </row>
    <row r="33" spans="2:33" x14ac:dyDescent="0.25">
      <c r="C33" s="115">
        <v>100</v>
      </c>
      <c r="D33" s="115"/>
      <c r="E33" s="115"/>
      <c r="F33" s="116"/>
      <c r="G33" s="117"/>
      <c r="H33" s="118"/>
      <c r="I33" s="119">
        <v>0</v>
      </c>
      <c r="J33" s="115"/>
      <c r="K33" s="115"/>
      <c r="L33" s="116"/>
      <c r="M33" s="117"/>
      <c r="N33" s="118"/>
      <c r="O33" s="119"/>
      <c r="P33" s="119"/>
      <c r="Q33" s="119"/>
      <c r="R33" s="119"/>
      <c r="S33" s="124"/>
      <c r="T33" s="119"/>
      <c r="U33" s="119">
        <v>300</v>
      </c>
      <c r="V33" s="119"/>
      <c r="W33" s="119"/>
      <c r="X33" s="120"/>
      <c r="Y33" s="121"/>
      <c r="Z33" s="120"/>
      <c r="AA33" s="119">
        <v>300</v>
      </c>
      <c r="AB33" s="121"/>
      <c r="AC33" s="121"/>
      <c r="AD33" s="2"/>
    </row>
    <row r="34" spans="2:33" x14ac:dyDescent="0.25">
      <c r="C34" s="115">
        <v>50</v>
      </c>
      <c r="D34" s="115"/>
      <c r="E34" s="115"/>
      <c r="F34" s="116"/>
      <c r="G34" s="117"/>
      <c r="H34" s="118"/>
      <c r="I34" s="119">
        <v>0</v>
      </c>
      <c r="J34" s="115"/>
      <c r="K34" s="115"/>
      <c r="L34" s="116"/>
      <c r="M34" s="117"/>
      <c r="N34" s="118"/>
      <c r="O34" s="119"/>
      <c r="P34" s="119"/>
      <c r="Q34" s="119"/>
      <c r="R34" s="119"/>
      <c r="S34" s="119"/>
      <c r="T34" s="119"/>
      <c r="U34" s="119">
        <v>0</v>
      </c>
      <c r="V34" s="119"/>
      <c r="W34" s="119"/>
      <c r="X34" s="120"/>
      <c r="Y34" s="121"/>
      <c r="Z34" s="120"/>
      <c r="AA34" s="119">
        <v>0</v>
      </c>
      <c r="AB34" s="121"/>
      <c r="AC34" s="121"/>
      <c r="AD34" s="2"/>
      <c r="AE34" s="1" t="s">
        <v>25</v>
      </c>
    </row>
    <row r="35" spans="2:33" x14ac:dyDescent="0.25">
      <c r="C35" s="115">
        <v>10</v>
      </c>
      <c r="D35" s="115"/>
      <c r="E35" s="115"/>
      <c r="F35" s="116"/>
      <c r="G35" s="117"/>
      <c r="H35" s="118"/>
      <c r="I35" s="119">
        <v>0</v>
      </c>
      <c r="J35" s="115"/>
      <c r="K35" s="115"/>
      <c r="L35" s="116"/>
      <c r="M35" s="117"/>
      <c r="N35" s="118"/>
      <c r="O35" s="119"/>
      <c r="P35" s="119"/>
      <c r="Q35" s="119"/>
      <c r="R35" s="119"/>
      <c r="S35" s="119"/>
      <c r="T35" s="119"/>
      <c r="U35" s="119">
        <v>0</v>
      </c>
      <c r="V35" s="119"/>
      <c r="W35" s="119"/>
      <c r="X35" s="120"/>
      <c r="Y35" s="121"/>
      <c r="Z35" s="120"/>
      <c r="AA35" s="119">
        <v>30</v>
      </c>
      <c r="AB35" s="121"/>
      <c r="AC35" s="121"/>
      <c r="AD35" s="2"/>
      <c r="AG35" s="1" t="s">
        <v>25</v>
      </c>
    </row>
    <row r="36" spans="2:33" x14ac:dyDescent="0.25">
      <c r="C36" s="1" t="s">
        <v>32</v>
      </c>
      <c r="E36" s="131"/>
      <c r="G36" s="125"/>
      <c r="H36" s="118"/>
      <c r="I36" s="124">
        <v>-40</v>
      </c>
      <c r="K36" s="131"/>
      <c r="M36" s="125"/>
      <c r="N36" s="118"/>
      <c r="O36" s="124"/>
      <c r="P36" s="124"/>
      <c r="Q36" s="124"/>
      <c r="R36" s="124"/>
      <c r="S36" s="124"/>
      <c r="T36" s="124"/>
      <c r="U36" s="124"/>
      <c r="V36" s="124"/>
      <c r="W36" s="124"/>
      <c r="X36" s="120"/>
      <c r="Y36" s="124"/>
      <c r="Z36" s="120"/>
      <c r="AA36" s="124">
        <f>94800+158000+12419-4</f>
        <v>265215</v>
      </c>
      <c r="AB36" s="124"/>
      <c r="AC36" s="124"/>
      <c r="AD36" s="2"/>
    </row>
    <row r="37" spans="2:33" s="114" customFormat="1" ht="15.75" x14ac:dyDescent="0.25">
      <c r="F37" s="126"/>
      <c r="G37" s="127"/>
      <c r="I37" s="128">
        <f>SUM(I27:I36)</f>
        <v>121960</v>
      </c>
      <c r="L37" s="126"/>
      <c r="M37" s="127"/>
      <c r="O37" s="128">
        <f>SUM(O27:O36)</f>
        <v>0</v>
      </c>
      <c r="P37" s="116"/>
      <c r="Q37" s="116"/>
      <c r="R37" s="116"/>
      <c r="S37" s="116"/>
      <c r="T37" s="116"/>
      <c r="U37" s="128">
        <f>SUM(U27:U36)</f>
        <v>423800</v>
      </c>
      <c r="V37" s="116"/>
      <c r="W37" s="116"/>
      <c r="X37" s="123"/>
      <c r="Y37" s="116"/>
      <c r="Z37" s="123"/>
      <c r="AA37" s="128">
        <f>SUM(AA27:AA36)</f>
        <v>464045</v>
      </c>
      <c r="AB37" s="129"/>
      <c r="AC37" s="125">
        <f>+I37+U37+AA37+O37</f>
        <v>1009805</v>
      </c>
    </row>
    <row r="38" spans="2:33" x14ac:dyDescent="0.25">
      <c r="B38" s="2"/>
      <c r="C38" s="2"/>
      <c r="D38" s="2"/>
      <c r="E38" s="70"/>
      <c r="F38" s="2"/>
      <c r="G38" s="2"/>
      <c r="H38" s="2"/>
      <c r="I38" s="2"/>
      <c r="J38" s="2"/>
      <c r="K38" s="70"/>
      <c r="L38" s="2"/>
      <c r="M38" s="2"/>
      <c r="N38" s="2"/>
      <c r="O38" s="2"/>
      <c r="X38" s="70"/>
      <c r="AA38" s="2"/>
      <c r="AB38" s="130"/>
      <c r="AC38" s="131">
        <f>AC37-AC24</f>
        <v>0</v>
      </c>
    </row>
    <row r="39" spans="2:33" x14ac:dyDescent="0.25">
      <c r="B39" s="2"/>
      <c r="C39" s="2"/>
      <c r="D39" s="2"/>
      <c r="E39" s="70"/>
      <c r="F39" s="2"/>
      <c r="G39" s="2"/>
      <c r="H39" s="2"/>
      <c r="I39" s="129"/>
      <c r="J39" s="2"/>
      <c r="K39" s="70"/>
      <c r="L39" s="2"/>
      <c r="M39" s="2"/>
      <c r="N39" s="2"/>
      <c r="O39" s="129"/>
      <c r="U39" s="129"/>
      <c r="X39" s="70"/>
      <c r="AA39" s="129"/>
      <c r="AB39" s="130"/>
      <c r="AC39" s="131"/>
    </row>
    <row r="40" spans="2:33" x14ac:dyDescent="0.25">
      <c r="E40" s="110"/>
      <c r="Q40" s="133"/>
      <c r="Y40" s="1"/>
      <c r="Z40" s="1"/>
    </row>
    <row r="41" spans="2:33" x14ac:dyDescent="0.25">
      <c r="S41" s="129"/>
      <c r="T41" s="129"/>
      <c r="U41" s="129"/>
      <c r="W41" s="130"/>
    </row>
  </sheetData>
  <mergeCells count="11">
    <mergeCell ref="AE6:AE7"/>
    <mergeCell ref="B6:B7"/>
    <mergeCell ref="C6:C7"/>
    <mergeCell ref="D6:I6"/>
    <mergeCell ref="J6:O6"/>
    <mergeCell ref="P6:U6"/>
    <mergeCell ref="Q3:T3"/>
    <mergeCell ref="C4:D4"/>
    <mergeCell ref="V6:AA6"/>
    <mergeCell ref="AB6:AB7"/>
    <mergeCell ref="AC6:AC7"/>
  </mergeCells>
  <pageMargins left="0.39370078740157483" right="0.39370078740157483" top="0.19685039370078741" bottom="0.19685039370078741" header="0" footer="0"/>
  <pageSetup paperSize="9" scale="87" orientation="landscape" horizontalDpi="0" verticalDpi="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6">
    <pageSetUpPr fitToPage="1"/>
  </sheetPr>
  <dimension ref="A1:AR41"/>
  <sheetViews>
    <sheetView topLeftCell="A7" workbookViewId="0">
      <pane xSplit="3" topLeftCell="D1" activePane="topRight" state="frozen"/>
      <selection activeCell="AB8" sqref="AB8"/>
      <selection pane="topRight" activeCell="AE18" sqref="AE18"/>
    </sheetView>
  </sheetViews>
  <sheetFormatPr baseColWidth="10" defaultRowHeight="15" x14ac:dyDescent="0.25"/>
  <cols>
    <col min="1" max="1" width="1.7109375" style="1" customWidth="1"/>
    <col min="2" max="2" width="10" style="1" customWidth="1"/>
    <col min="3" max="3" width="29.140625" style="1" customWidth="1"/>
    <col min="4" max="4" width="5.7109375" style="1" customWidth="1"/>
    <col min="5" max="5" width="10.7109375" style="1" customWidth="1"/>
    <col min="6" max="6" width="5.7109375" style="1" customWidth="1"/>
    <col min="7" max="7" width="10.7109375" style="1" customWidth="1"/>
    <col min="8" max="8" width="5.7109375" style="1" customWidth="1"/>
    <col min="9" max="9" width="10.7109375" style="1" customWidth="1"/>
    <col min="10" max="10" width="5.7109375" style="1" hidden="1" customWidth="1"/>
    <col min="11" max="11" width="10.7109375" style="1" hidden="1" customWidth="1"/>
    <col min="12" max="12" width="5.7109375" style="1" hidden="1" customWidth="1"/>
    <col min="13" max="13" width="10.7109375" style="1" hidden="1" customWidth="1"/>
    <col min="14" max="14" width="5.7109375" style="1" hidden="1" customWidth="1"/>
    <col min="15" max="15" width="10.7109375" style="1" hidden="1" customWidth="1"/>
    <col min="16" max="16" width="5.7109375" style="2" customWidth="1"/>
    <col min="17" max="17" width="10.7109375" style="2" customWidth="1"/>
    <col min="18" max="18" width="5.7109375" style="2" customWidth="1"/>
    <col min="19" max="19" width="10.7109375" style="2" customWidth="1"/>
    <col min="20" max="20" width="5.7109375" style="2" customWidth="1"/>
    <col min="21" max="21" width="10.7109375" style="2" customWidth="1"/>
    <col min="22" max="22" width="5.7109375" style="2" customWidth="1"/>
    <col min="23" max="23" width="10.7109375" style="2" customWidth="1"/>
    <col min="24" max="24" width="5.7109375" style="2" customWidth="1"/>
    <col min="25" max="25" width="10.7109375" style="2" customWidth="1"/>
    <col min="26" max="26" width="5.7109375" style="2" customWidth="1"/>
    <col min="27" max="27" width="10.7109375" style="1" customWidth="1"/>
    <col min="28" max="28" width="9.5703125" style="1" customWidth="1"/>
    <col min="29" max="29" width="14.5703125" style="1" bestFit="1" customWidth="1"/>
    <col min="30" max="30" width="3.28515625" style="1" customWidth="1"/>
    <col min="31" max="31" width="11.42578125" style="1"/>
    <col min="32" max="32" width="3.7109375" style="1" customWidth="1"/>
    <col min="33" max="33" width="10.140625" style="1" customWidth="1"/>
    <col min="34" max="34" width="3.7109375" style="1" customWidth="1"/>
    <col min="35" max="35" width="11.42578125" style="1"/>
    <col min="36" max="36" width="3.7109375" style="1" customWidth="1"/>
    <col min="37" max="37" width="5.7109375" style="1" customWidth="1"/>
    <col min="38" max="38" width="3.7109375" style="1" customWidth="1"/>
    <col min="39" max="39" width="5.7109375" style="1" customWidth="1"/>
    <col min="40" max="40" width="3.7109375" style="1" customWidth="1"/>
    <col min="41" max="41" width="5.7109375" style="1" customWidth="1"/>
    <col min="42" max="16384" width="11.42578125" style="1"/>
  </cols>
  <sheetData>
    <row r="1" spans="1:39" ht="5.25" customHeight="1" x14ac:dyDescent="0.25">
      <c r="Y1" s="1"/>
      <c r="Z1" s="1"/>
    </row>
    <row r="2" spans="1:39" ht="21" x14ac:dyDescent="0.35">
      <c r="B2" s="3" t="s">
        <v>0</v>
      </c>
      <c r="P2" s="1"/>
      <c r="Q2" s="4"/>
      <c r="Z2" s="1"/>
    </row>
    <row r="3" spans="1:39" ht="15" customHeight="1" x14ac:dyDescent="0.25">
      <c r="A3" s="5"/>
      <c r="B3" s="6" t="s">
        <v>1</v>
      </c>
      <c r="C3" s="7"/>
      <c r="D3" s="7"/>
      <c r="E3" s="7"/>
      <c r="F3" s="7"/>
      <c r="P3" s="1"/>
      <c r="Q3" s="353"/>
      <c r="R3" s="353"/>
      <c r="S3" s="353"/>
      <c r="T3" s="353"/>
      <c r="U3" s="246"/>
      <c r="V3" s="246"/>
      <c r="Z3" s="1"/>
    </row>
    <row r="4" spans="1:39" ht="18" customHeight="1" x14ac:dyDescent="0.25">
      <c r="B4" s="247" t="s">
        <v>2</v>
      </c>
      <c r="C4" s="354" t="s">
        <v>63</v>
      </c>
      <c r="D4" s="355"/>
      <c r="E4" s="247"/>
      <c r="F4" s="247"/>
      <c r="P4" s="1"/>
      <c r="Q4" s="9"/>
      <c r="R4" s="10"/>
      <c r="S4" s="9"/>
      <c r="T4" s="9"/>
      <c r="U4" s="9"/>
      <c r="V4" s="9"/>
      <c r="Z4" s="1"/>
    </row>
    <row r="5" spans="1:39" ht="15.75" thickBot="1" x14ac:dyDescent="0.3">
      <c r="A5" s="247"/>
      <c r="B5" s="247"/>
      <c r="C5" s="247"/>
      <c r="D5" s="247"/>
      <c r="E5" s="247"/>
      <c r="J5" s="247"/>
      <c r="K5" s="247"/>
      <c r="P5" s="1"/>
      <c r="Q5" s="1"/>
      <c r="R5" s="1"/>
      <c r="S5" s="1"/>
      <c r="T5" s="1"/>
      <c r="U5" s="1"/>
      <c r="V5" s="9"/>
      <c r="W5" s="9"/>
      <c r="X5" s="9"/>
      <c r="Y5" s="9"/>
      <c r="Z5" s="9"/>
      <c r="AA5" s="9"/>
      <c r="AB5" s="2"/>
      <c r="AC5" s="2"/>
      <c r="AD5" s="2"/>
    </row>
    <row r="6" spans="1:39" ht="27.75" customHeight="1" thickBot="1" x14ac:dyDescent="0.3">
      <c r="B6" s="356" t="s">
        <v>3</v>
      </c>
      <c r="C6" s="343" t="s">
        <v>4</v>
      </c>
      <c r="D6" s="358" t="s">
        <v>36</v>
      </c>
      <c r="E6" s="359"/>
      <c r="F6" s="360"/>
      <c r="G6" s="360"/>
      <c r="H6" s="360"/>
      <c r="I6" s="361"/>
      <c r="J6" s="370" t="s">
        <v>42</v>
      </c>
      <c r="K6" s="371"/>
      <c r="L6" s="372"/>
      <c r="M6" s="372"/>
      <c r="N6" s="372"/>
      <c r="O6" s="373"/>
      <c r="P6" s="362" t="s">
        <v>42</v>
      </c>
      <c r="Q6" s="363"/>
      <c r="R6" s="364"/>
      <c r="S6" s="364"/>
      <c r="T6" s="364"/>
      <c r="U6" s="365"/>
      <c r="V6" s="366" t="s">
        <v>31</v>
      </c>
      <c r="W6" s="367"/>
      <c r="X6" s="368"/>
      <c r="Y6" s="368"/>
      <c r="Z6" s="368"/>
      <c r="AA6" s="369"/>
      <c r="AB6" s="349" t="s">
        <v>5</v>
      </c>
      <c r="AC6" s="349" t="s">
        <v>6</v>
      </c>
      <c r="AD6" s="2"/>
      <c r="AE6" s="351" t="s">
        <v>7</v>
      </c>
      <c r="AF6" s="2"/>
    </row>
    <row r="7" spans="1:39" ht="25.5" customHeight="1" thickBot="1" x14ac:dyDescent="0.3">
      <c r="B7" s="357"/>
      <c r="C7" s="344"/>
      <c r="D7" s="11" t="s">
        <v>8</v>
      </c>
      <c r="E7" s="12" t="s">
        <v>9</v>
      </c>
      <c r="F7" s="13" t="s">
        <v>8</v>
      </c>
      <c r="G7" s="14" t="s">
        <v>9</v>
      </c>
      <c r="H7" s="11" t="s">
        <v>5</v>
      </c>
      <c r="I7" s="14" t="s">
        <v>10</v>
      </c>
      <c r="J7" s="190" t="s">
        <v>8</v>
      </c>
      <c r="K7" s="192" t="s">
        <v>9</v>
      </c>
      <c r="L7" s="191" t="s">
        <v>8</v>
      </c>
      <c r="M7" s="192" t="s">
        <v>9</v>
      </c>
      <c r="N7" s="190" t="s">
        <v>5</v>
      </c>
      <c r="O7" s="192" t="s">
        <v>10</v>
      </c>
      <c r="P7" s="15" t="s">
        <v>8</v>
      </c>
      <c r="Q7" s="16" t="s">
        <v>9</v>
      </c>
      <c r="R7" s="17" t="s">
        <v>8</v>
      </c>
      <c r="S7" s="16" t="s">
        <v>9</v>
      </c>
      <c r="T7" s="15" t="s">
        <v>5</v>
      </c>
      <c r="U7" s="16" t="s">
        <v>10</v>
      </c>
      <c r="V7" s="18" t="s">
        <v>8</v>
      </c>
      <c r="W7" s="19" t="s">
        <v>9</v>
      </c>
      <c r="X7" s="20" t="s">
        <v>8</v>
      </c>
      <c r="Y7" s="21" t="s">
        <v>9</v>
      </c>
      <c r="Z7" s="18" t="s">
        <v>5</v>
      </c>
      <c r="AA7" s="21" t="s">
        <v>10</v>
      </c>
      <c r="AB7" s="350"/>
      <c r="AC7" s="350"/>
      <c r="AD7" s="2"/>
      <c r="AE7" s="352"/>
      <c r="AG7" s="22" t="s">
        <v>11</v>
      </c>
      <c r="AI7" s="22" t="s">
        <v>12</v>
      </c>
    </row>
    <row r="8" spans="1:39" x14ac:dyDescent="0.25">
      <c r="B8" s="173">
        <v>6320</v>
      </c>
      <c r="C8" s="157" t="s">
        <v>13</v>
      </c>
      <c r="D8" s="24"/>
      <c r="E8" s="25">
        <f>+D8*B8</f>
        <v>0</v>
      </c>
      <c r="F8" s="26">
        <v>4</v>
      </c>
      <c r="G8" s="27">
        <f>6320*4</f>
        <v>25280</v>
      </c>
      <c r="H8" s="28">
        <f>D8+F8</f>
        <v>4</v>
      </c>
      <c r="I8" s="29">
        <f>E8+G8</f>
        <v>25280</v>
      </c>
      <c r="J8" s="199"/>
      <c r="K8" s="249">
        <f>+J8*B8</f>
        <v>0</v>
      </c>
      <c r="L8" s="222"/>
      <c r="M8" s="202"/>
      <c r="N8" s="193">
        <f>J8+L8</f>
        <v>0</v>
      </c>
      <c r="O8" s="194">
        <f>K8+M8</f>
        <v>0</v>
      </c>
      <c r="P8" s="30"/>
      <c r="Q8" s="178">
        <f>+P8*B8</f>
        <v>0</v>
      </c>
      <c r="R8" s="232">
        <v>3</v>
      </c>
      <c r="S8" s="33">
        <f>6320*3</f>
        <v>18960</v>
      </c>
      <c r="T8" s="34">
        <f>P8+R8</f>
        <v>3</v>
      </c>
      <c r="U8" s="35">
        <f>Q8+S8</f>
        <v>18960</v>
      </c>
      <c r="V8" s="36"/>
      <c r="W8" s="37">
        <f t="shared" ref="W8:W19" si="0">+V8*B8</f>
        <v>0</v>
      </c>
      <c r="X8" s="38">
        <v>8</v>
      </c>
      <c r="Y8" s="39">
        <f>6320*8</f>
        <v>50560</v>
      </c>
      <c r="Z8" s="40">
        <f>V8+X8</f>
        <v>8</v>
      </c>
      <c r="AA8" s="41">
        <f>Y8+W8</f>
        <v>50560</v>
      </c>
      <c r="AB8" s="152">
        <f>+D8+F8+P8+R8+V8+X8+J8+L8</f>
        <v>15</v>
      </c>
      <c r="AC8" s="220">
        <f>+E8+G8+Q8+S8+W8+Y8+K8+M8</f>
        <v>94800</v>
      </c>
      <c r="AD8" s="44"/>
      <c r="AE8" s="45"/>
      <c r="AG8" s="187">
        <f>E8+W8+Q8+K8</f>
        <v>0</v>
      </c>
      <c r="AI8" s="156">
        <f>G8+Y8+S8+M8</f>
        <v>94800</v>
      </c>
      <c r="AK8" s="139">
        <f>F8+R8+X8+L8</f>
        <v>15</v>
      </c>
      <c r="AM8" s="139">
        <f>+D8+P8+V8+J8</f>
        <v>0</v>
      </c>
    </row>
    <row r="9" spans="1:39" x14ac:dyDescent="0.25">
      <c r="B9" s="174">
        <v>6320</v>
      </c>
      <c r="C9" s="180" t="s">
        <v>14</v>
      </c>
      <c r="D9" s="47"/>
      <c r="E9" s="48">
        <f t="shared" ref="E9:E19" si="1">+D9*B9</f>
        <v>0</v>
      </c>
      <c r="F9" s="49"/>
      <c r="G9" s="50"/>
      <c r="H9" s="51">
        <f>D9+F9</f>
        <v>0</v>
      </c>
      <c r="I9" s="52">
        <f>G9+E9</f>
        <v>0</v>
      </c>
      <c r="J9" s="203"/>
      <c r="K9" s="248">
        <f t="shared" ref="K9:K19" si="2">+J9*B9</f>
        <v>0</v>
      </c>
      <c r="L9" s="223"/>
      <c r="M9" s="206"/>
      <c r="N9" s="195">
        <f>J9+L9</f>
        <v>0</v>
      </c>
      <c r="O9" s="196">
        <f>M9+K9</f>
        <v>0</v>
      </c>
      <c r="P9" s="53"/>
      <c r="Q9" s="178">
        <f t="shared" ref="Q9:Q19" si="3">+P9*B9</f>
        <v>0</v>
      </c>
      <c r="R9" s="233">
        <v>4</v>
      </c>
      <c r="S9" s="56">
        <f>6320*4</f>
        <v>25280</v>
      </c>
      <c r="T9" s="57">
        <f>P9+R9</f>
        <v>4</v>
      </c>
      <c r="U9" s="58">
        <f>S9+Q9</f>
        <v>25280</v>
      </c>
      <c r="V9" s="59"/>
      <c r="W9" s="60">
        <f t="shared" si="0"/>
        <v>0</v>
      </c>
      <c r="X9" s="61">
        <v>5</v>
      </c>
      <c r="Y9" s="62">
        <f>1896*2+6320*3</f>
        <v>22752</v>
      </c>
      <c r="Z9" s="63">
        <f>V9+X9</f>
        <v>5</v>
      </c>
      <c r="AA9" s="41">
        <f>Y9+W9</f>
        <v>22752</v>
      </c>
      <c r="AB9" s="152">
        <f t="shared" ref="AB9:AB22" si="4">+D9+F9+P9+R9+V9+X9+J9+L9</f>
        <v>9</v>
      </c>
      <c r="AC9" s="339">
        <f t="shared" ref="AC9:AC22" si="5">+E9+G9+Q9+S9+W9+Y9+K9+M9</f>
        <v>48032</v>
      </c>
      <c r="AD9" s="44"/>
      <c r="AE9" s="151">
        <f>4424*2</f>
        <v>8848</v>
      </c>
      <c r="AG9" s="251">
        <f t="shared" ref="AG9:AG22" si="6">E9+W9+Q9+K9</f>
        <v>0</v>
      </c>
      <c r="AI9" s="151">
        <f t="shared" ref="AI9:AI22" si="7">G9+Y9+S9+M9</f>
        <v>48032</v>
      </c>
      <c r="AK9" s="142">
        <f t="shared" ref="AK9:AK22" si="8">F9+R9+X9+L9</f>
        <v>9</v>
      </c>
      <c r="AM9" s="142">
        <f t="shared" ref="AM9:AM22" si="9">+D9+P9+V9+J9</f>
        <v>0</v>
      </c>
    </row>
    <row r="10" spans="1:39" x14ac:dyDescent="0.25">
      <c r="B10" s="174">
        <v>6320</v>
      </c>
      <c r="C10" s="46" t="s">
        <v>16</v>
      </c>
      <c r="D10" s="47"/>
      <c r="E10" s="48">
        <f t="shared" si="1"/>
        <v>0</v>
      </c>
      <c r="F10" s="49"/>
      <c r="G10" s="50"/>
      <c r="H10" s="51">
        <f t="shared" ref="H10:H22" si="10">D10+F10</f>
        <v>0</v>
      </c>
      <c r="I10" s="52">
        <f t="shared" ref="I10:I22" si="11">G10+E10</f>
        <v>0</v>
      </c>
      <c r="J10" s="203"/>
      <c r="K10" s="248">
        <f t="shared" si="2"/>
        <v>0</v>
      </c>
      <c r="L10" s="223"/>
      <c r="M10" s="206"/>
      <c r="N10" s="195">
        <f t="shared" ref="N10:N22" si="12">J10+L10</f>
        <v>0</v>
      </c>
      <c r="O10" s="196">
        <f t="shared" ref="O10:O22" si="13">M10+K10</f>
        <v>0</v>
      </c>
      <c r="P10" s="53"/>
      <c r="Q10" s="178">
        <f t="shared" si="3"/>
        <v>0</v>
      </c>
      <c r="R10" s="233"/>
      <c r="S10" s="56"/>
      <c r="T10" s="57">
        <f t="shared" ref="T10:T22" si="14">P10+R10</f>
        <v>0</v>
      </c>
      <c r="U10" s="58">
        <f t="shared" ref="U10:U22" si="15">S10+Q10</f>
        <v>0</v>
      </c>
      <c r="V10" s="59"/>
      <c r="W10" s="60">
        <f t="shared" si="0"/>
        <v>0</v>
      </c>
      <c r="X10" s="61"/>
      <c r="Y10" s="62"/>
      <c r="Z10" s="63">
        <f t="shared" ref="Z10:Z22" si="16">V10+X10</f>
        <v>0</v>
      </c>
      <c r="AA10" s="41">
        <f t="shared" ref="AA10:AA22" si="17">Y10+W10</f>
        <v>0</v>
      </c>
      <c r="AB10" s="42">
        <f t="shared" si="4"/>
        <v>0</v>
      </c>
      <c r="AC10" s="188">
        <f t="shared" si="5"/>
        <v>0</v>
      </c>
      <c r="AD10" s="44"/>
      <c r="AE10" s="64"/>
      <c r="AG10" s="218">
        <f t="shared" si="6"/>
        <v>0</v>
      </c>
      <c r="AI10" s="64">
        <f t="shared" si="7"/>
        <v>0</v>
      </c>
      <c r="AK10" s="142">
        <f t="shared" si="8"/>
        <v>0</v>
      </c>
      <c r="AM10" s="142">
        <f t="shared" si="9"/>
        <v>0</v>
      </c>
    </row>
    <row r="11" spans="1:39" x14ac:dyDescent="0.25">
      <c r="B11" s="174">
        <v>6320</v>
      </c>
      <c r="C11" s="153" t="s">
        <v>17</v>
      </c>
      <c r="D11" s="65"/>
      <c r="E11" s="48">
        <f t="shared" si="1"/>
        <v>0</v>
      </c>
      <c r="F11" s="49"/>
      <c r="G11" s="50"/>
      <c r="H11" s="51">
        <f t="shared" si="10"/>
        <v>0</v>
      </c>
      <c r="I11" s="52">
        <f t="shared" si="11"/>
        <v>0</v>
      </c>
      <c r="J11" s="207"/>
      <c r="K11" s="248">
        <f t="shared" si="2"/>
        <v>0</v>
      </c>
      <c r="L11" s="223"/>
      <c r="M11" s="206"/>
      <c r="N11" s="195">
        <f t="shared" si="12"/>
        <v>0</v>
      </c>
      <c r="O11" s="196">
        <f t="shared" si="13"/>
        <v>0</v>
      </c>
      <c r="P11" s="66"/>
      <c r="Q11" s="178">
        <f t="shared" si="3"/>
        <v>0</v>
      </c>
      <c r="R11" s="234">
        <v>8</v>
      </c>
      <c r="S11" s="56">
        <f>6320*8</f>
        <v>50560</v>
      </c>
      <c r="T11" s="57">
        <f t="shared" si="14"/>
        <v>8</v>
      </c>
      <c r="U11" s="58">
        <f t="shared" si="15"/>
        <v>50560</v>
      </c>
      <c r="V11" s="68"/>
      <c r="W11" s="60">
        <f t="shared" si="0"/>
        <v>0</v>
      </c>
      <c r="X11" s="69">
        <v>8</v>
      </c>
      <c r="Y11" s="62">
        <f>6320*8</f>
        <v>50560</v>
      </c>
      <c r="Z11" s="63">
        <f t="shared" si="16"/>
        <v>8</v>
      </c>
      <c r="AA11" s="41">
        <f t="shared" si="17"/>
        <v>50560</v>
      </c>
      <c r="AB11" s="152">
        <f t="shared" si="4"/>
        <v>16</v>
      </c>
      <c r="AC11" s="220">
        <f t="shared" si="5"/>
        <v>101120</v>
      </c>
      <c r="AD11" s="70"/>
      <c r="AE11" s="64"/>
      <c r="AG11" s="218">
        <f t="shared" si="6"/>
        <v>0</v>
      </c>
      <c r="AI11" s="151">
        <f t="shared" si="7"/>
        <v>101120</v>
      </c>
      <c r="AK11" s="142">
        <f t="shared" si="8"/>
        <v>16</v>
      </c>
      <c r="AM11" s="142">
        <f t="shared" si="9"/>
        <v>0</v>
      </c>
    </row>
    <row r="12" spans="1:39" x14ac:dyDescent="0.25">
      <c r="B12" s="174">
        <v>6320</v>
      </c>
      <c r="C12" s="153" t="s">
        <v>18</v>
      </c>
      <c r="D12" s="65"/>
      <c r="E12" s="48">
        <f t="shared" si="1"/>
        <v>0</v>
      </c>
      <c r="F12" s="49"/>
      <c r="G12" s="50"/>
      <c r="H12" s="51">
        <f t="shared" si="10"/>
        <v>0</v>
      </c>
      <c r="I12" s="52">
        <f t="shared" si="11"/>
        <v>0</v>
      </c>
      <c r="J12" s="207"/>
      <c r="K12" s="248">
        <f t="shared" si="2"/>
        <v>0</v>
      </c>
      <c r="L12" s="223"/>
      <c r="M12" s="206"/>
      <c r="N12" s="195">
        <f t="shared" si="12"/>
        <v>0</v>
      </c>
      <c r="O12" s="196">
        <f t="shared" si="13"/>
        <v>0</v>
      </c>
      <c r="P12" s="66"/>
      <c r="Q12" s="178">
        <f t="shared" si="3"/>
        <v>0</v>
      </c>
      <c r="R12" s="234">
        <v>2</v>
      </c>
      <c r="S12" s="56">
        <f>6320+1264</f>
        <v>7584</v>
      </c>
      <c r="T12" s="57">
        <f t="shared" si="14"/>
        <v>2</v>
      </c>
      <c r="U12" s="58">
        <f t="shared" si="15"/>
        <v>7584</v>
      </c>
      <c r="V12" s="68"/>
      <c r="W12" s="60">
        <f t="shared" si="0"/>
        <v>0</v>
      </c>
      <c r="X12" s="69">
        <v>3</v>
      </c>
      <c r="Y12" s="62">
        <f>6320*2+1264</f>
        <v>13904</v>
      </c>
      <c r="Z12" s="63">
        <f t="shared" si="16"/>
        <v>3</v>
      </c>
      <c r="AA12" s="41">
        <f t="shared" si="17"/>
        <v>13904</v>
      </c>
      <c r="AB12" s="152">
        <f t="shared" si="4"/>
        <v>5</v>
      </c>
      <c r="AC12" s="220">
        <f t="shared" si="5"/>
        <v>21488</v>
      </c>
      <c r="AD12" s="71"/>
      <c r="AE12" s="151">
        <f>5056*2</f>
        <v>10112</v>
      </c>
      <c r="AG12" s="218">
        <f t="shared" si="6"/>
        <v>0</v>
      </c>
      <c r="AI12" s="151">
        <f t="shared" si="7"/>
        <v>21488</v>
      </c>
      <c r="AK12" s="142">
        <f t="shared" si="8"/>
        <v>5</v>
      </c>
      <c r="AM12" s="142">
        <f t="shared" si="9"/>
        <v>0</v>
      </c>
    </row>
    <row r="13" spans="1:39" x14ac:dyDescent="0.25">
      <c r="B13" s="174">
        <v>6320</v>
      </c>
      <c r="C13" s="153" t="s">
        <v>19</v>
      </c>
      <c r="D13" s="65"/>
      <c r="E13" s="48">
        <f t="shared" si="1"/>
        <v>0</v>
      </c>
      <c r="F13" s="49"/>
      <c r="G13" s="50"/>
      <c r="H13" s="51">
        <f t="shared" si="10"/>
        <v>0</v>
      </c>
      <c r="I13" s="52">
        <f t="shared" si="11"/>
        <v>0</v>
      </c>
      <c r="J13" s="207"/>
      <c r="K13" s="248">
        <f t="shared" si="2"/>
        <v>0</v>
      </c>
      <c r="L13" s="223"/>
      <c r="M13" s="206"/>
      <c r="N13" s="195">
        <f t="shared" si="12"/>
        <v>0</v>
      </c>
      <c r="O13" s="196">
        <f t="shared" si="13"/>
        <v>0</v>
      </c>
      <c r="P13" s="66"/>
      <c r="Q13" s="178">
        <f t="shared" si="3"/>
        <v>0</v>
      </c>
      <c r="R13" s="234">
        <v>7</v>
      </c>
      <c r="S13" s="56">
        <f>1896+6320*6</f>
        <v>39816</v>
      </c>
      <c r="T13" s="57">
        <f t="shared" si="14"/>
        <v>7</v>
      </c>
      <c r="U13" s="58">
        <f t="shared" si="15"/>
        <v>39816</v>
      </c>
      <c r="V13" s="68"/>
      <c r="W13" s="60">
        <f t="shared" si="0"/>
        <v>0</v>
      </c>
      <c r="X13" s="69">
        <v>3</v>
      </c>
      <c r="Y13" s="62">
        <f>6320*3</f>
        <v>18960</v>
      </c>
      <c r="Z13" s="63">
        <f t="shared" si="16"/>
        <v>3</v>
      </c>
      <c r="AA13" s="41">
        <f t="shared" si="17"/>
        <v>18960</v>
      </c>
      <c r="AB13" s="152">
        <f t="shared" si="4"/>
        <v>10</v>
      </c>
      <c r="AC13" s="220">
        <f t="shared" si="5"/>
        <v>58776</v>
      </c>
      <c r="AD13" s="70"/>
      <c r="AE13" s="151">
        <v>4424</v>
      </c>
      <c r="AG13" s="218">
        <f t="shared" si="6"/>
        <v>0</v>
      </c>
      <c r="AI13" s="151">
        <f t="shared" si="7"/>
        <v>58776</v>
      </c>
      <c r="AK13" s="142">
        <f t="shared" si="8"/>
        <v>10</v>
      </c>
      <c r="AM13" s="142">
        <f t="shared" si="9"/>
        <v>0</v>
      </c>
    </row>
    <row r="14" spans="1:39" x14ac:dyDescent="0.25">
      <c r="B14" s="174">
        <v>6320</v>
      </c>
      <c r="C14" s="46" t="s">
        <v>20</v>
      </c>
      <c r="D14" s="65"/>
      <c r="E14" s="48">
        <f t="shared" si="1"/>
        <v>0</v>
      </c>
      <c r="F14" s="49"/>
      <c r="G14" s="50"/>
      <c r="H14" s="51">
        <f t="shared" si="10"/>
        <v>0</v>
      </c>
      <c r="I14" s="52">
        <f t="shared" si="11"/>
        <v>0</v>
      </c>
      <c r="J14" s="207"/>
      <c r="K14" s="248">
        <f t="shared" si="2"/>
        <v>0</v>
      </c>
      <c r="L14" s="223"/>
      <c r="M14" s="206"/>
      <c r="N14" s="195">
        <f t="shared" si="12"/>
        <v>0</v>
      </c>
      <c r="O14" s="196">
        <f t="shared" si="13"/>
        <v>0</v>
      </c>
      <c r="P14" s="66"/>
      <c r="Q14" s="178">
        <f t="shared" si="3"/>
        <v>0</v>
      </c>
      <c r="R14" s="234"/>
      <c r="S14" s="56"/>
      <c r="T14" s="57">
        <f t="shared" si="14"/>
        <v>0</v>
      </c>
      <c r="U14" s="58">
        <f t="shared" si="15"/>
        <v>0</v>
      </c>
      <c r="V14" s="68"/>
      <c r="W14" s="60">
        <f t="shared" si="0"/>
        <v>0</v>
      </c>
      <c r="X14" s="69"/>
      <c r="Y14" s="62"/>
      <c r="Z14" s="63">
        <f t="shared" si="16"/>
        <v>0</v>
      </c>
      <c r="AA14" s="41">
        <f t="shared" si="17"/>
        <v>0</v>
      </c>
      <c r="AB14" s="42">
        <f t="shared" si="4"/>
        <v>0</v>
      </c>
      <c r="AC14" s="188">
        <f t="shared" si="5"/>
        <v>0</v>
      </c>
      <c r="AD14" s="70"/>
      <c r="AE14" s="64"/>
      <c r="AG14" s="218">
        <f t="shared" si="6"/>
        <v>0</v>
      </c>
      <c r="AI14" s="64">
        <f t="shared" si="7"/>
        <v>0</v>
      </c>
      <c r="AK14" s="142">
        <f t="shared" si="8"/>
        <v>0</v>
      </c>
      <c r="AM14" s="142">
        <f t="shared" si="9"/>
        <v>0</v>
      </c>
    </row>
    <row r="15" spans="1:39" x14ac:dyDescent="0.25">
      <c r="B15" s="174">
        <v>6320</v>
      </c>
      <c r="C15" s="153" t="s">
        <v>21</v>
      </c>
      <c r="D15" s="65"/>
      <c r="E15" s="48">
        <f t="shared" si="1"/>
        <v>0</v>
      </c>
      <c r="F15" s="49"/>
      <c r="G15" s="50"/>
      <c r="H15" s="51">
        <f t="shared" si="10"/>
        <v>0</v>
      </c>
      <c r="I15" s="52">
        <f t="shared" si="11"/>
        <v>0</v>
      </c>
      <c r="J15" s="207"/>
      <c r="K15" s="248">
        <f t="shared" si="2"/>
        <v>0</v>
      </c>
      <c r="L15" s="223"/>
      <c r="M15" s="206"/>
      <c r="N15" s="195">
        <f t="shared" si="12"/>
        <v>0</v>
      </c>
      <c r="O15" s="196">
        <f t="shared" si="13"/>
        <v>0</v>
      </c>
      <c r="P15" s="66"/>
      <c r="Q15" s="178">
        <f t="shared" si="3"/>
        <v>0</v>
      </c>
      <c r="R15" s="234">
        <v>6</v>
      </c>
      <c r="S15" s="56">
        <f>6320*6</f>
        <v>37920</v>
      </c>
      <c r="T15" s="57">
        <f t="shared" si="14"/>
        <v>6</v>
      </c>
      <c r="U15" s="58">
        <f t="shared" si="15"/>
        <v>37920</v>
      </c>
      <c r="V15" s="68"/>
      <c r="W15" s="60">
        <f t="shared" si="0"/>
        <v>0</v>
      </c>
      <c r="X15" s="69">
        <v>1</v>
      </c>
      <c r="Y15" s="62">
        <v>6320</v>
      </c>
      <c r="Z15" s="63">
        <f t="shared" si="16"/>
        <v>1</v>
      </c>
      <c r="AA15" s="41">
        <f t="shared" si="17"/>
        <v>6320</v>
      </c>
      <c r="AB15" s="152">
        <f t="shared" si="4"/>
        <v>7</v>
      </c>
      <c r="AC15" s="220">
        <f t="shared" si="5"/>
        <v>44240</v>
      </c>
      <c r="AD15" s="70"/>
      <c r="AE15" s="64"/>
      <c r="AG15" s="218">
        <f t="shared" si="6"/>
        <v>0</v>
      </c>
      <c r="AI15" s="151">
        <f t="shared" si="7"/>
        <v>44240</v>
      </c>
      <c r="AK15" s="142">
        <f t="shared" si="8"/>
        <v>7</v>
      </c>
      <c r="AM15" s="142">
        <f t="shared" si="9"/>
        <v>0</v>
      </c>
    </row>
    <row r="16" spans="1:39" x14ac:dyDescent="0.25">
      <c r="B16" s="174" t="s">
        <v>26</v>
      </c>
      <c r="C16" s="46" t="s">
        <v>33</v>
      </c>
      <c r="D16" s="65"/>
      <c r="E16" s="48">
        <v>0</v>
      </c>
      <c r="F16" s="49"/>
      <c r="G16" s="50"/>
      <c r="H16" s="51">
        <f t="shared" si="10"/>
        <v>0</v>
      </c>
      <c r="I16" s="52">
        <f t="shared" si="11"/>
        <v>0</v>
      </c>
      <c r="J16" s="207"/>
      <c r="K16" s="248">
        <v>0</v>
      </c>
      <c r="L16" s="223"/>
      <c r="M16" s="206"/>
      <c r="N16" s="195">
        <f t="shared" si="12"/>
        <v>0</v>
      </c>
      <c r="O16" s="196">
        <f t="shared" si="13"/>
        <v>0</v>
      </c>
      <c r="P16" s="66"/>
      <c r="Q16" s="178">
        <v>0</v>
      </c>
      <c r="R16" s="234"/>
      <c r="S16" s="56"/>
      <c r="T16" s="57">
        <f t="shared" si="14"/>
        <v>0</v>
      </c>
      <c r="U16" s="58">
        <v>0</v>
      </c>
      <c r="V16" s="68"/>
      <c r="W16" s="60">
        <v>0</v>
      </c>
      <c r="X16" s="69"/>
      <c r="Y16" s="62"/>
      <c r="Z16" s="63">
        <f>+X16+V16</f>
        <v>0</v>
      </c>
      <c r="AA16" s="41">
        <f>+Y16+W16</f>
        <v>0</v>
      </c>
      <c r="AB16" s="42">
        <f t="shared" si="4"/>
        <v>0</v>
      </c>
      <c r="AC16" s="188">
        <f t="shared" si="5"/>
        <v>0</v>
      </c>
      <c r="AD16" s="70"/>
      <c r="AE16" s="64"/>
      <c r="AG16" s="218">
        <f t="shared" si="6"/>
        <v>0</v>
      </c>
      <c r="AI16" s="64">
        <f t="shared" si="7"/>
        <v>0</v>
      </c>
      <c r="AK16" s="142">
        <f t="shared" si="8"/>
        <v>0</v>
      </c>
      <c r="AM16" s="142">
        <f t="shared" si="9"/>
        <v>0</v>
      </c>
    </row>
    <row r="17" spans="2:41" x14ac:dyDescent="0.25">
      <c r="B17" s="175">
        <v>14010</v>
      </c>
      <c r="C17" s="153" t="s">
        <v>23</v>
      </c>
      <c r="D17" s="65"/>
      <c r="E17" s="48">
        <f t="shared" si="1"/>
        <v>0</v>
      </c>
      <c r="F17" s="49"/>
      <c r="G17" s="50"/>
      <c r="H17" s="51">
        <f t="shared" si="10"/>
        <v>0</v>
      </c>
      <c r="I17" s="52">
        <f t="shared" si="11"/>
        <v>0</v>
      </c>
      <c r="J17" s="207"/>
      <c r="K17" s="248">
        <f t="shared" si="2"/>
        <v>0</v>
      </c>
      <c r="L17" s="223"/>
      <c r="M17" s="206"/>
      <c r="N17" s="195">
        <f t="shared" si="12"/>
        <v>0</v>
      </c>
      <c r="O17" s="196">
        <f t="shared" si="13"/>
        <v>0</v>
      </c>
      <c r="P17" s="66"/>
      <c r="Q17" s="178">
        <f t="shared" si="3"/>
        <v>0</v>
      </c>
      <c r="R17" s="234">
        <v>4</v>
      </c>
      <c r="S17" s="56">
        <f>14010*4</f>
        <v>56040</v>
      </c>
      <c r="T17" s="57">
        <f t="shared" si="14"/>
        <v>4</v>
      </c>
      <c r="U17" s="58">
        <f t="shared" si="15"/>
        <v>56040</v>
      </c>
      <c r="V17" s="68"/>
      <c r="W17" s="60">
        <f t="shared" si="0"/>
        <v>0</v>
      </c>
      <c r="X17" s="69">
        <v>10</v>
      </c>
      <c r="Y17" s="62">
        <f>14010*10</f>
        <v>140100</v>
      </c>
      <c r="Z17" s="63">
        <f t="shared" si="16"/>
        <v>10</v>
      </c>
      <c r="AA17" s="41">
        <f t="shared" si="17"/>
        <v>140100</v>
      </c>
      <c r="AB17" s="152">
        <f t="shared" si="4"/>
        <v>14</v>
      </c>
      <c r="AC17" s="220">
        <f t="shared" si="5"/>
        <v>196140</v>
      </c>
      <c r="AD17" s="70"/>
      <c r="AE17" s="64"/>
      <c r="AG17" s="218">
        <f t="shared" si="6"/>
        <v>0</v>
      </c>
      <c r="AI17" s="151">
        <f t="shared" si="7"/>
        <v>196140</v>
      </c>
      <c r="AK17" s="142">
        <f t="shared" si="8"/>
        <v>14</v>
      </c>
      <c r="AM17" s="142">
        <f t="shared" si="9"/>
        <v>0</v>
      </c>
    </row>
    <row r="18" spans="2:41" x14ac:dyDescent="0.25">
      <c r="B18" s="174">
        <v>11870</v>
      </c>
      <c r="C18" s="46" t="s">
        <v>24</v>
      </c>
      <c r="D18" s="65"/>
      <c r="E18" s="48">
        <f t="shared" si="1"/>
        <v>0</v>
      </c>
      <c r="F18" s="49"/>
      <c r="G18" s="50"/>
      <c r="H18" s="51">
        <f t="shared" si="10"/>
        <v>0</v>
      </c>
      <c r="I18" s="52">
        <f t="shared" si="11"/>
        <v>0</v>
      </c>
      <c r="J18" s="207"/>
      <c r="K18" s="248">
        <f t="shared" si="2"/>
        <v>0</v>
      </c>
      <c r="L18" s="223"/>
      <c r="M18" s="206"/>
      <c r="N18" s="195">
        <f t="shared" si="12"/>
        <v>0</v>
      </c>
      <c r="O18" s="196">
        <f t="shared" si="13"/>
        <v>0</v>
      </c>
      <c r="P18" s="66"/>
      <c r="Q18" s="178">
        <f t="shared" si="3"/>
        <v>0</v>
      </c>
      <c r="R18" s="234"/>
      <c r="S18" s="56"/>
      <c r="T18" s="57">
        <f t="shared" si="14"/>
        <v>0</v>
      </c>
      <c r="U18" s="58">
        <f t="shared" si="15"/>
        <v>0</v>
      </c>
      <c r="V18" s="68"/>
      <c r="W18" s="60">
        <f t="shared" si="0"/>
        <v>0</v>
      </c>
      <c r="X18" s="69"/>
      <c r="Y18" s="62"/>
      <c r="Z18" s="63">
        <f t="shared" si="16"/>
        <v>0</v>
      </c>
      <c r="AA18" s="41">
        <f t="shared" si="17"/>
        <v>0</v>
      </c>
      <c r="AB18" s="42">
        <f t="shared" si="4"/>
        <v>0</v>
      </c>
      <c r="AC18" s="188">
        <f t="shared" si="5"/>
        <v>0</v>
      </c>
      <c r="AD18" s="70"/>
      <c r="AE18" s="64"/>
      <c r="AG18" s="218">
        <f t="shared" si="6"/>
        <v>0</v>
      </c>
      <c r="AI18" s="64">
        <f t="shared" si="7"/>
        <v>0</v>
      </c>
      <c r="AK18" s="142">
        <f t="shared" si="8"/>
        <v>0</v>
      </c>
      <c r="AM18" s="142">
        <f t="shared" si="9"/>
        <v>0</v>
      </c>
    </row>
    <row r="19" spans="2:41" x14ac:dyDescent="0.25">
      <c r="B19" s="174">
        <v>6710</v>
      </c>
      <c r="C19" s="46" t="s">
        <v>0</v>
      </c>
      <c r="D19" s="65"/>
      <c r="E19" s="48">
        <f t="shared" si="1"/>
        <v>0</v>
      </c>
      <c r="F19" s="72"/>
      <c r="G19" s="50"/>
      <c r="H19" s="51">
        <f t="shared" si="10"/>
        <v>0</v>
      </c>
      <c r="I19" s="52">
        <f t="shared" si="11"/>
        <v>0</v>
      </c>
      <c r="J19" s="207"/>
      <c r="K19" s="248">
        <f t="shared" si="2"/>
        <v>0</v>
      </c>
      <c r="L19" s="224"/>
      <c r="M19" s="206"/>
      <c r="N19" s="195">
        <f t="shared" si="12"/>
        <v>0</v>
      </c>
      <c r="O19" s="196">
        <f t="shared" si="13"/>
        <v>0</v>
      </c>
      <c r="P19" s="66"/>
      <c r="Q19" s="178">
        <f t="shared" si="3"/>
        <v>0</v>
      </c>
      <c r="R19" s="235"/>
      <c r="S19" s="56"/>
      <c r="T19" s="57">
        <f t="shared" si="14"/>
        <v>0</v>
      </c>
      <c r="U19" s="58">
        <f t="shared" si="15"/>
        <v>0</v>
      </c>
      <c r="V19" s="68"/>
      <c r="W19" s="60">
        <f t="shared" si="0"/>
        <v>0</v>
      </c>
      <c r="X19" s="74"/>
      <c r="Y19" s="62"/>
      <c r="Z19" s="63">
        <f t="shared" si="16"/>
        <v>0</v>
      </c>
      <c r="AA19" s="41">
        <f t="shared" si="17"/>
        <v>0</v>
      </c>
      <c r="AB19" s="42">
        <f t="shared" si="4"/>
        <v>0</v>
      </c>
      <c r="AC19" s="188">
        <f t="shared" si="5"/>
        <v>0</v>
      </c>
      <c r="AD19" s="70"/>
      <c r="AE19" s="64"/>
      <c r="AF19" s="1" t="s">
        <v>25</v>
      </c>
      <c r="AG19" s="218">
        <f t="shared" si="6"/>
        <v>0</v>
      </c>
      <c r="AI19" s="64">
        <f t="shared" si="7"/>
        <v>0</v>
      </c>
      <c r="AK19" s="142">
        <f t="shared" si="8"/>
        <v>0</v>
      </c>
      <c r="AM19" s="142">
        <f t="shared" si="9"/>
        <v>0</v>
      </c>
    </row>
    <row r="20" spans="2:41" x14ac:dyDescent="0.25">
      <c r="B20" s="174" t="s">
        <v>26</v>
      </c>
      <c r="C20" s="46" t="s">
        <v>0</v>
      </c>
      <c r="D20" s="65"/>
      <c r="E20" s="48">
        <v>0</v>
      </c>
      <c r="F20" s="49"/>
      <c r="G20" s="50"/>
      <c r="H20" s="51">
        <f t="shared" si="10"/>
        <v>0</v>
      </c>
      <c r="I20" s="52">
        <f t="shared" si="11"/>
        <v>0</v>
      </c>
      <c r="J20" s="207"/>
      <c r="K20" s="248">
        <v>0</v>
      </c>
      <c r="L20" s="223"/>
      <c r="M20" s="206"/>
      <c r="N20" s="195">
        <f t="shared" si="12"/>
        <v>0</v>
      </c>
      <c r="O20" s="196">
        <f t="shared" si="13"/>
        <v>0</v>
      </c>
      <c r="P20" s="66"/>
      <c r="Q20" s="178">
        <v>0</v>
      </c>
      <c r="R20" s="234"/>
      <c r="S20" s="56"/>
      <c r="T20" s="57">
        <f t="shared" si="14"/>
        <v>0</v>
      </c>
      <c r="U20" s="58">
        <f t="shared" si="15"/>
        <v>0</v>
      </c>
      <c r="V20" s="68"/>
      <c r="W20" s="60">
        <v>0</v>
      </c>
      <c r="X20" s="69"/>
      <c r="Y20" s="62"/>
      <c r="Z20" s="63">
        <f t="shared" si="16"/>
        <v>0</v>
      </c>
      <c r="AA20" s="41">
        <f t="shared" si="17"/>
        <v>0</v>
      </c>
      <c r="AB20" s="42">
        <f t="shared" si="4"/>
        <v>0</v>
      </c>
      <c r="AC20" s="188">
        <f t="shared" si="5"/>
        <v>0</v>
      </c>
      <c r="AD20" s="70"/>
      <c r="AE20" s="64"/>
      <c r="AG20" s="218">
        <f t="shared" si="6"/>
        <v>0</v>
      </c>
      <c r="AI20" s="64">
        <f t="shared" si="7"/>
        <v>0</v>
      </c>
      <c r="AK20" s="142">
        <f t="shared" si="8"/>
        <v>0</v>
      </c>
      <c r="AM20" s="142">
        <f t="shared" si="9"/>
        <v>0</v>
      </c>
    </row>
    <row r="21" spans="2:41" x14ac:dyDescent="0.25">
      <c r="B21" s="174" t="s">
        <v>26</v>
      </c>
      <c r="C21" s="153" t="s">
        <v>28</v>
      </c>
      <c r="D21" s="65"/>
      <c r="E21" s="75">
        <v>0</v>
      </c>
      <c r="F21" s="49">
        <v>2</v>
      </c>
      <c r="G21" s="50">
        <f>24700+13750</f>
        <v>38450</v>
      </c>
      <c r="H21" s="51">
        <f t="shared" si="10"/>
        <v>2</v>
      </c>
      <c r="I21" s="52">
        <f t="shared" si="11"/>
        <v>38450</v>
      </c>
      <c r="J21" s="207"/>
      <c r="K21" s="248">
        <v>0</v>
      </c>
      <c r="L21" s="223"/>
      <c r="M21" s="206"/>
      <c r="N21" s="195">
        <f t="shared" si="12"/>
        <v>0</v>
      </c>
      <c r="O21" s="196">
        <f t="shared" si="13"/>
        <v>0</v>
      </c>
      <c r="P21" s="66"/>
      <c r="Q21" s="178">
        <v>0</v>
      </c>
      <c r="R21" s="234">
        <v>6</v>
      </c>
      <c r="S21" s="56">
        <f>13750*4+6875+5500</f>
        <v>67375</v>
      </c>
      <c r="T21" s="57">
        <f t="shared" si="14"/>
        <v>6</v>
      </c>
      <c r="U21" s="58">
        <f t="shared" si="15"/>
        <v>67375</v>
      </c>
      <c r="V21" s="68"/>
      <c r="W21" s="60">
        <v>0</v>
      </c>
      <c r="X21" s="69">
        <v>8</v>
      </c>
      <c r="Y21" s="62">
        <f>24700*3+37790+30910+13750*2+6875</f>
        <v>177175</v>
      </c>
      <c r="Z21" s="63">
        <f t="shared" si="16"/>
        <v>8</v>
      </c>
      <c r="AA21" s="41">
        <f t="shared" si="17"/>
        <v>177175</v>
      </c>
      <c r="AB21" s="152">
        <f t="shared" si="4"/>
        <v>16</v>
      </c>
      <c r="AC21" s="220">
        <f t="shared" si="5"/>
        <v>283000</v>
      </c>
      <c r="AD21" s="70"/>
      <c r="AE21" s="151">
        <f>6875*2+8250</f>
        <v>22000</v>
      </c>
      <c r="AG21" s="218">
        <f t="shared" si="6"/>
        <v>0</v>
      </c>
      <c r="AI21" s="151">
        <f t="shared" si="7"/>
        <v>283000</v>
      </c>
      <c r="AK21" s="142">
        <f t="shared" si="8"/>
        <v>16</v>
      </c>
      <c r="AM21" s="142">
        <f t="shared" si="9"/>
        <v>0</v>
      </c>
    </row>
    <row r="22" spans="2:41" ht="15.75" thickBot="1" x14ac:dyDescent="0.3">
      <c r="B22" s="176" t="s">
        <v>26</v>
      </c>
      <c r="C22" s="155" t="s">
        <v>29</v>
      </c>
      <c r="D22" s="77"/>
      <c r="E22" s="78">
        <v>0</v>
      </c>
      <c r="F22" s="79">
        <v>4</v>
      </c>
      <c r="G22" s="80">
        <f>12800+11100+15940+19870</f>
        <v>59710</v>
      </c>
      <c r="H22" s="81">
        <f t="shared" si="10"/>
        <v>4</v>
      </c>
      <c r="I22" s="82">
        <f t="shared" si="11"/>
        <v>59710</v>
      </c>
      <c r="J22" s="210"/>
      <c r="K22" s="250">
        <v>0</v>
      </c>
      <c r="L22" s="225"/>
      <c r="M22" s="213"/>
      <c r="N22" s="197">
        <f t="shared" si="12"/>
        <v>0</v>
      </c>
      <c r="O22" s="198">
        <f t="shared" si="13"/>
        <v>0</v>
      </c>
      <c r="P22" s="83"/>
      <c r="Q22" s="231">
        <v>0</v>
      </c>
      <c r="R22" s="236">
        <v>6</v>
      </c>
      <c r="S22" s="237">
        <f>7180+6430+12800+13180+7490+5550</f>
        <v>52630</v>
      </c>
      <c r="T22" s="87">
        <f t="shared" si="14"/>
        <v>6</v>
      </c>
      <c r="U22" s="88">
        <f t="shared" si="15"/>
        <v>52630</v>
      </c>
      <c r="V22" s="89"/>
      <c r="W22" s="60">
        <v>0</v>
      </c>
      <c r="X22" s="90">
        <v>4</v>
      </c>
      <c r="Y22" s="91">
        <f>20530+12800+5550+13180</f>
        <v>52060</v>
      </c>
      <c r="Z22" s="92">
        <f t="shared" si="16"/>
        <v>4</v>
      </c>
      <c r="AA22" s="93">
        <f t="shared" si="17"/>
        <v>52060</v>
      </c>
      <c r="AB22" s="152">
        <f t="shared" si="4"/>
        <v>14</v>
      </c>
      <c r="AC22" s="220">
        <f t="shared" si="5"/>
        <v>164400</v>
      </c>
      <c r="AD22" s="70"/>
      <c r="AE22" s="94"/>
      <c r="AG22" s="219">
        <f t="shared" si="6"/>
        <v>0</v>
      </c>
      <c r="AI22" s="154">
        <f t="shared" si="7"/>
        <v>164400</v>
      </c>
      <c r="AK22" s="144">
        <f t="shared" si="8"/>
        <v>14</v>
      </c>
      <c r="AM22" s="144">
        <f t="shared" si="9"/>
        <v>0</v>
      </c>
    </row>
    <row r="23" spans="2:41" ht="15.75" thickBot="1" x14ac:dyDescent="0.3">
      <c r="D23" s="95">
        <f t="shared" ref="D23:I23" si="18">SUM(D8:D22)</f>
        <v>0</v>
      </c>
      <c r="E23" s="96">
        <f t="shared" si="18"/>
        <v>0</v>
      </c>
      <c r="F23" s="95">
        <f t="shared" si="18"/>
        <v>10</v>
      </c>
      <c r="G23" s="97">
        <f t="shared" si="18"/>
        <v>123440</v>
      </c>
      <c r="H23" s="98">
        <f t="shared" si="18"/>
        <v>10</v>
      </c>
      <c r="I23" s="99">
        <f t="shared" si="18"/>
        <v>123440</v>
      </c>
      <c r="J23" s="214">
        <f t="shared" ref="J23:O23" si="19">SUM(J8:J22)</f>
        <v>0</v>
      </c>
      <c r="K23" s="226">
        <f t="shared" si="19"/>
        <v>0</v>
      </c>
      <c r="L23" s="214">
        <f t="shared" si="19"/>
        <v>0</v>
      </c>
      <c r="M23" s="216">
        <f t="shared" si="19"/>
        <v>0</v>
      </c>
      <c r="N23" s="217">
        <f t="shared" si="19"/>
        <v>0</v>
      </c>
      <c r="O23" s="99">
        <f t="shared" si="19"/>
        <v>0</v>
      </c>
      <c r="P23" s="100">
        <f t="shared" ref="P23:AA23" si="20">SUM(P8:P22)</f>
        <v>0</v>
      </c>
      <c r="Q23" s="101">
        <f t="shared" si="20"/>
        <v>0</v>
      </c>
      <c r="R23" s="100">
        <f t="shared" si="20"/>
        <v>46</v>
      </c>
      <c r="S23" s="102">
        <f t="shared" si="20"/>
        <v>356165</v>
      </c>
      <c r="T23" s="103">
        <f t="shared" si="20"/>
        <v>46</v>
      </c>
      <c r="U23" s="104">
        <f t="shared" si="20"/>
        <v>356165</v>
      </c>
      <c r="V23" s="105">
        <f t="shared" si="20"/>
        <v>0</v>
      </c>
      <c r="W23" s="106">
        <f t="shared" si="20"/>
        <v>0</v>
      </c>
      <c r="X23" s="105">
        <f t="shared" si="20"/>
        <v>50</v>
      </c>
      <c r="Y23" s="107">
        <f t="shared" si="20"/>
        <v>532391</v>
      </c>
      <c r="Z23" s="108">
        <f t="shared" si="20"/>
        <v>50</v>
      </c>
      <c r="AA23" s="104">
        <f t="shared" si="20"/>
        <v>532391</v>
      </c>
      <c r="AB23" s="109" t="s">
        <v>9</v>
      </c>
      <c r="AC23" s="43">
        <f>SUM(AC8:AC22)</f>
        <v>1011996</v>
      </c>
      <c r="AD23" s="70"/>
      <c r="AE23" s="1">
        <f>SUM(AE8:AE22)</f>
        <v>45384</v>
      </c>
      <c r="AI23" s="110"/>
      <c r="AK23" s="1">
        <f>SUM(AK8:AK22)</f>
        <v>106</v>
      </c>
      <c r="AM23" s="1">
        <f>SUM(AM8:AM22)</f>
        <v>0</v>
      </c>
      <c r="AO23" s="1">
        <f>+AK23+AM23</f>
        <v>106</v>
      </c>
    </row>
    <row r="24" spans="2:41" x14ac:dyDescent="0.25">
      <c r="G24" s="111"/>
      <c r="H24" s="111"/>
      <c r="I24" s="111"/>
      <c r="M24" s="111"/>
      <c r="N24" s="111"/>
      <c r="O24" s="111"/>
      <c r="P24" s="111"/>
      <c r="Q24" s="111"/>
      <c r="R24" s="112">
        <f>X23+F23+R23+L23</f>
        <v>106</v>
      </c>
      <c r="S24" s="113">
        <f>G23+Y23+S23+M23</f>
        <v>1011996</v>
      </c>
      <c r="T24" s="111"/>
      <c r="U24" s="111"/>
      <c r="V24" s="111"/>
      <c r="W24" s="111"/>
      <c r="X24" s="111"/>
      <c r="Y24" s="111"/>
      <c r="Z24" s="111"/>
      <c r="AA24" s="111"/>
      <c r="AB24" s="2"/>
      <c r="AC24" s="70">
        <f>AA23+U23+I23+O23</f>
        <v>1011996</v>
      </c>
      <c r="AD24" s="2"/>
    </row>
    <row r="25" spans="2:41" x14ac:dyDescent="0.25">
      <c r="D25" s="114" t="s">
        <v>30</v>
      </c>
      <c r="E25" s="114"/>
      <c r="G25" s="114"/>
      <c r="H25" s="114"/>
      <c r="I25" s="114"/>
      <c r="J25" s="114" t="s">
        <v>30</v>
      </c>
      <c r="K25" s="114"/>
      <c r="M25" s="114"/>
      <c r="N25" s="114"/>
      <c r="O25" s="114"/>
      <c r="P25" s="114"/>
      <c r="Q25" s="114"/>
      <c r="R25" s="114"/>
      <c r="S25" s="114"/>
      <c r="T25" s="114"/>
      <c r="U25" s="114"/>
      <c r="AA25" s="2"/>
      <c r="AB25" s="2"/>
      <c r="AC25" s="2"/>
      <c r="AD25" s="2"/>
    </row>
    <row r="26" spans="2:41" x14ac:dyDescent="0.25">
      <c r="D26" s="114"/>
      <c r="E26" s="114"/>
      <c r="J26" s="114"/>
      <c r="K26" s="114"/>
      <c r="P26" s="1"/>
      <c r="Q26" s="1"/>
      <c r="R26" s="1"/>
      <c r="S26" s="1"/>
      <c r="T26" s="1"/>
      <c r="U26" s="1"/>
      <c r="AA26" s="2"/>
      <c r="AB26" s="2"/>
      <c r="AC26" s="2"/>
      <c r="AD26" s="2"/>
    </row>
    <row r="27" spans="2:41" x14ac:dyDescent="0.25">
      <c r="C27" s="115">
        <v>20000</v>
      </c>
      <c r="D27" s="115"/>
      <c r="E27" s="115"/>
      <c r="F27" s="116"/>
      <c r="G27" s="117"/>
      <c r="H27" s="118"/>
      <c r="I27" s="119">
        <v>80000</v>
      </c>
      <c r="J27" s="115"/>
      <c r="K27" s="115"/>
      <c r="L27" s="116"/>
      <c r="M27" s="117"/>
      <c r="N27" s="118"/>
      <c r="O27" s="119"/>
      <c r="P27" s="119"/>
      <c r="Q27" s="119"/>
      <c r="R27" s="119"/>
      <c r="S27" s="119"/>
      <c r="T27" s="119"/>
      <c r="U27" s="119">
        <v>180000</v>
      </c>
      <c r="V27" s="119"/>
      <c r="W27" s="119"/>
      <c r="X27" s="120"/>
      <c r="Y27" s="121"/>
      <c r="Z27" s="120"/>
      <c r="AA27" s="119">
        <v>60000</v>
      </c>
      <c r="AB27" s="122"/>
      <c r="AC27" s="122"/>
      <c r="AD27" s="2"/>
      <c r="AE27" s="2"/>
      <c r="AF27" s="2"/>
    </row>
    <row r="28" spans="2:41" x14ac:dyDescent="0.25">
      <c r="C28" s="115">
        <v>10000</v>
      </c>
      <c r="D28" s="115"/>
      <c r="E28" s="115"/>
      <c r="F28" s="116"/>
      <c r="G28" s="117"/>
      <c r="H28" s="118"/>
      <c r="I28" s="119">
        <v>10000</v>
      </c>
      <c r="J28" s="115"/>
      <c r="K28" s="115"/>
      <c r="L28" s="116"/>
      <c r="M28" s="117"/>
      <c r="N28" s="118"/>
      <c r="O28" s="119"/>
      <c r="P28" s="119"/>
      <c r="Q28" s="119"/>
      <c r="R28" s="119"/>
      <c r="S28" s="119"/>
      <c r="T28" s="119"/>
      <c r="U28" s="119">
        <v>170000</v>
      </c>
      <c r="V28" s="119"/>
      <c r="W28" s="119"/>
      <c r="X28" s="120"/>
      <c r="Y28" s="122"/>
      <c r="Z28" s="120"/>
      <c r="AA28" s="119">
        <v>270000</v>
      </c>
      <c r="AB28" s="122"/>
      <c r="AC28" s="122"/>
      <c r="AD28" s="2"/>
      <c r="AE28" s="2"/>
      <c r="AF28" s="2"/>
    </row>
    <row r="29" spans="2:41" x14ac:dyDescent="0.25">
      <c r="C29" s="115">
        <v>5000</v>
      </c>
      <c r="D29" s="115"/>
      <c r="E29" s="115"/>
      <c r="F29" s="116"/>
      <c r="G29" s="117"/>
      <c r="H29" s="118"/>
      <c r="I29" s="119">
        <v>0</v>
      </c>
      <c r="J29" s="115"/>
      <c r="K29" s="115"/>
      <c r="L29" s="116"/>
      <c r="M29" s="117"/>
      <c r="N29" s="118"/>
      <c r="O29" s="119"/>
      <c r="P29" s="119"/>
      <c r="Q29" s="119"/>
      <c r="R29" s="119"/>
      <c r="S29" s="119"/>
      <c r="T29" s="119"/>
      <c r="U29" s="119">
        <v>5000</v>
      </c>
      <c r="V29" s="119"/>
      <c r="W29" s="119"/>
      <c r="X29" s="120"/>
      <c r="Y29" s="121"/>
      <c r="Z29" s="120"/>
      <c r="AA29" s="119">
        <v>40000</v>
      </c>
      <c r="AB29" s="122"/>
      <c r="AC29" s="122"/>
      <c r="AD29" s="2"/>
      <c r="AE29" s="2"/>
      <c r="AF29" s="2"/>
    </row>
    <row r="30" spans="2:41" x14ac:dyDescent="0.25">
      <c r="C30" s="115">
        <v>2000</v>
      </c>
      <c r="D30" s="115"/>
      <c r="E30" s="115"/>
      <c r="F30" s="116"/>
      <c r="G30" s="117"/>
      <c r="H30" s="118"/>
      <c r="I30" s="119">
        <v>0</v>
      </c>
      <c r="J30" s="115"/>
      <c r="K30" s="115"/>
      <c r="L30" s="116"/>
      <c r="M30" s="117"/>
      <c r="N30" s="118"/>
      <c r="O30" s="119"/>
      <c r="P30" s="119"/>
      <c r="Q30" s="119"/>
      <c r="R30" s="119"/>
      <c r="S30" s="119"/>
      <c r="T30" s="119"/>
      <c r="U30" s="119">
        <v>0</v>
      </c>
      <c r="V30" s="119"/>
      <c r="W30" s="119"/>
      <c r="X30" s="120"/>
      <c r="Y30" s="121"/>
      <c r="Z30" s="120"/>
      <c r="AA30" s="119">
        <v>0</v>
      </c>
      <c r="AB30" s="122"/>
      <c r="AC30" s="122"/>
      <c r="AD30" s="123"/>
    </row>
    <row r="31" spans="2:41" x14ac:dyDescent="0.25">
      <c r="C31" s="115">
        <v>1000</v>
      </c>
      <c r="D31" s="115"/>
      <c r="E31" s="115"/>
      <c r="F31" s="116"/>
      <c r="G31" s="117"/>
      <c r="H31" s="118"/>
      <c r="I31" s="124">
        <v>51000</v>
      </c>
      <c r="J31" s="115"/>
      <c r="K31" s="115"/>
      <c r="L31" s="116"/>
      <c r="M31" s="117"/>
      <c r="N31" s="118"/>
      <c r="O31" s="124"/>
      <c r="P31" s="124"/>
      <c r="Q31" s="124"/>
      <c r="R31" s="124"/>
      <c r="S31" s="124"/>
      <c r="T31" s="124"/>
      <c r="U31" s="124">
        <v>1000</v>
      </c>
      <c r="V31" s="124"/>
      <c r="W31" s="124"/>
      <c r="X31" s="120"/>
      <c r="Y31" s="121"/>
      <c r="Z31" s="120"/>
      <c r="AA31" s="124">
        <v>1000</v>
      </c>
      <c r="AB31" s="122"/>
      <c r="AC31" s="122"/>
      <c r="AD31" s="2"/>
    </row>
    <row r="32" spans="2:41" x14ac:dyDescent="0.25">
      <c r="C32" s="115">
        <v>500</v>
      </c>
      <c r="D32" s="115"/>
      <c r="E32" s="115"/>
      <c r="F32" s="116"/>
      <c r="G32" s="117"/>
      <c r="H32" s="118"/>
      <c r="I32" s="119">
        <v>500</v>
      </c>
      <c r="J32" s="115"/>
      <c r="K32" s="115"/>
      <c r="L32" s="116"/>
      <c r="M32" s="117"/>
      <c r="N32" s="118"/>
      <c r="O32" s="119"/>
      <c r="P32" s="119"/>
      <c r="Q32" s="119"/>
      <c r="R32" s="119"/>
      <c r="S32" s="119"/>
      <c r="T32" s="119"/>
      <c r="U32" s="119">
        <v>0</v>
      </c>
      <c r="V32" s="119"/>
      <c r="W32" s="119"/>
      <c r="X32" s="120"/>
      <c r="Y32" s="121"/>
      <c r="Z32" s="120"/>
      <c r="AA32" s="119">
        <v>0</v>
      </c>
      <c r="AB32" s="121"/>
      <c r="AC32" s="121"/>
      <c r="AD32" s="2"/>
    </row>
    <row r="33" spans="2:44" x14ac:dyDescent="0.25">
      <c r="C33" s="115">
        <v>100</v>
      </c>
      <c r="D33" s="115"/>
      <c r="E33" s="115"/>
      <c r="F33" s="116"/>
      <c r="G33" s="117"/>
      <c r="H33" s="118"/>
      <c r="I33" s="119">
        <v>300</v>
      </c>
      <c r="J33" s="115"/>
      <c r="K33" s="115"/>
      <c r="L33" s="116"/>
      <c r="M33" s="117"/>
      <c r="N33" s="118"/>
      <c r="O33" s="119"/>
      <c r="P33" s="119"/>
      <c r="Q33" s="119"/>
      <c r="R33" s="119"/>
      <c r="S33" s="119"/>
      <c r="T33" s="119"/>
      <c r="U33" s="119">
        <v>100</v>
      </c>
      <c r="V33" s="119"/>
      <c r="W33" s="119"/>
      <c r="X33" s="120"/>
      <c r="Y33" s="121"/>
      <c r="Z33" s="120"/>
      <c r="AA33" s="119">
        <v>100</v>
      </c>
      <c r="AB33" s="121"/>
      <c r="AC33" s="121"/>
      <c r="AD33" s="2"/>
    </row>
    <row r="34" spans="2:44" x14ac:dyDescent="0.25">
      <c r="C34" s="115">
        <v>50</v>
      </c>
      <c r="D34" s="115"/>
      <c r="E34" s="115"/>
      <c r="F34" s="116"/>
      <c r="G34" s="117"/>
      <c r="H34" s="118"/>
      <c r="I34" s="119">
        <v>50</v>
      </c>
      <c r="J34" s="115"/>
      <c r="K34" s="115"/>
      <c r="L34" s="116"/>
      <c r="M34" s="117"/>
      <c r="N34" s="118"/>
      <c r="O34" s="119"/>
      <c r="P34" s="119"/>
      <c r="Q34" s="119"/>
      <c r="R34" s="119"/>
      <c r="S34" s="119"/>
      <c r="T34" s="119"/>
      <c r="U34" s="119">
        <v>50</v>
      </c>
      <c r="V34" s="119"/>
      <c r="W34" s="119"/>
      <c r="X34" s="120"/>
      <c r="Y34" s="121"/>
      <c r="Z34" s="120"/>
      <c r="AA34" s="119">
        <v>50</v>
      </c>
      <c r="AB34" s="121"/>
      <c r="AC34" s="121"/>
      <c r="AD34" s="2"/>
      <c r="AR34" s="1" t="s">
        <v>38</v>
      </c>
    </row>
    <row r="35" spans="2:44" x14ac:dyDescent="0.25">
      <c r="C35" s="115">
        <v>10</v>
      </c>
      <c r="D35" s="115"/>
      <c r="E35" s="115"/>
      <c r="F35" s="116"/>
      <c r="G35" s="117"/>
      <c r="H35" s="118"/>
      <c r="I35" s="119">
        <v>0</v>
      </c>
      <c r="J35" s="115"/>
      <c r="K35" s="115"/>
      <c r="L35" s="116"/>
      <c r="M35" s="117"/>
      <c r="N35" s="118"/>
      <c r="O35" s="119"/>
      <c r="P35" s="119"/>
      <c r="Q35" s="119"/>
      <c r="R35" s="119"/>
      <c r="S35" s="119"/>
      <c r="T35" s="119"/>
      <c r="U35" s="119">
        <v>10</v>
      </c>
      <c r="V35" s="119"/>
      <c r="W35" s="119"/>
      <c r="X35" s="120"/>
      <c r="Y35" s="121"/>
      <c r="Z35" s="120"/>
      <c r="AA35" s="119">
        <v>0</v>
      </c>
      <c r="AB35" s="121"/>
      <c r="AC35" s="121"/>
      <c r="AD35" s="2"/>
      <c r="AG35" s="1" t="s">
        <v>25</v>
      </c>
    </row>
    <row r="36" spans="2:44" x14ac:dyDescent="0.25">
      <c r="C36" s="1" t="s">
        <v>32</v>
      </c>
      <c r="E36" s="131"/>
      <c r="G36" s="125"/>
      <c r="H36" s="118"/>
      <c r="I36" s="124">
        <v>-18410</v>
      </c>
      <c r="K36" s="131"/>
      <c r="M36" s="125"/>
      <c r="N36" s="118"/>
      <c r="O36" s="124"/>
      <c r="P36" s="124"/>
      <c r="Q36" s="124"/>
      <c r="R36" s="124"/>
      <c r="S36" s="124"/>
      <c r="T36" s="124"/>
      <c r="U36" s="124">
        <v>5</v>
      </c>
      <c r="V36" s="124"/>
      <c r="W36" s="124"/>
      <c r="X36" s="120"/>
      <c r="Y36" s="124"/>
      <c r="Z36" s="120"/>
      <c r="AA36" s="124">
        <f>94800+48032+18410-1</f>
        <v>161241</v>
      </c>
      <c r="AB36" s="124"/>
      <c r="AC36" s="124"/>
      <c r="AD36" s="2"/>
    </row>
    <row r="37" spans="2:44" s="114" customFormat="1" ht="15.75" x14ac:dyDescent="0.25">
      <c r="F37" s="126"/>
      <c r="G37" s="127"/>
      <c r="I37" s="128">
        <f>SUM(I27:I36)</f>
        <v>123440</v>
      </c>
      <c r="L37" s="126"/>
      <c r="M37" s="127"/>
      <c r="O37" s="128">
        <f>SUM(O27:O36)</f>
        <v>0</v>
      </c>
      <c r="P37" s="116"/>
      <c r="Q37" s="116"/>
      <c r="R37" s="116"/>
      <c r="S37" s="116"/>
      <c r="T37" s="116"/>
      <c r="U37" s="128">
        <f>SUM(U27:U36)</f>
        <v>356165</v>
      </c>
      <c r="V37" s="116"/>
      <c r="W37" s="116"/>
      <c r="X37" s="123"/>
      <c r="Y37" s="116"/>
      <c r="Z37" s="123"/>
      <c r="AA37" s="128">
        <f>SUM(AA27:AA36)</f>
        <v>532391</v>
      </c>
      <c r="AB37" s="129"/>
      <c r="AC37" s="125">
        <f>+I37+U37+AA37+O37</f>
        <v>1011996</v>
      </c>
    </row>
    <row r="38" spans="2:44" x14ac:dyDescent="0.25">
      <c r="B38" s="2"/>
      <c r="C38" s="2"/>
      <c r="D38" s="2"/>
      <c r="E38" s="70"/>
      <c r="F38" s="2"/>
      <c r="G38" s="2"/>
      <c r="H38" s="2"/>
      <c r="I38" s="2"/>
      <c r="J38" s="2"/>
      <c r="K38" s="70"/>
      <c r="L38" s="2"/>
      <c r="M38" s="2"/>
      <c r="N38" s="2"/>
      <c r="O38" s="2"/>
      <c r="X38" s="70"/>
      <c r="AA38" s="2"/>
      <c r="AB38" s="130"/>
      <c r="AC38" s="131">
        <f>AC37-AC24</f>
        <v>0</v>
      </c>
    </row>
    <row r="39" spans="2:44" x14ac:dyDescent="0.25">
      <c r="B39" s="2"/>
      <c r="C39" s="2"/>
      <c r="D39" s="2"/>
      <c r="E39" s="70"/>
      <c r="F39" s="2"/>
      <c r="G39" s="2"/>
      <c r="H39" s="2"/>
      <c r="I39" s="129"/>
      <c r="J39" s="2"/>
      <c r="K39" s="70"/>
      <c r="L39" s="2"/>
      <c r="M39" s="2"/>
      <c r="N39" s="2"/>
      <c r="O39" s="129"/>
      <c r="P39" s="2" t="s">
        <v>38</v>
      </c>
      <c r="U39" s="129"/>
      <c r="X39" s="70"/>
      <c r="AA39" s="2"/>
      <c r="AB39" s="130"/>
      <c r="AC39" s="131"/>
    </row>
    <row r="40" spans="2:44" x14ac:dyDescent="0.25">
      <c r="E40" s="110"/>
      <c r="Q40" s="133"/>
      <c r="Y40" s="1"/>
      <c r="Z40" s="1"/>
    </row>
    <row r="41" spans="2:44" x14ac:dyDescent="0.25">
      <c r="S41" s="129"/>
      <c r="T41" s="129"/>
      <c r="U41" s="129"/>
      <c r="W41" s="130"/>
    </row>
  </sheetData>
  <mergeCells count="11">
    <mergeCell ref="AE6:AE7"/>
    <mergeCell ref="B6:B7"/>
    <mergeCell ref="C6:C7"/>
    <mergeCell ref="D6:I6"/>
    <mergeCell ref="J6:O6"/>
    <mergeCell ref="P6:U6"/>
    <mergeCell ref="Q3:T3"/>
    <mergeCell ref="C4:D4"/>
    <mergeCell ref="V6:AA6"/>
    <mergeCell ref="AB6:AB7"/>
    <mergeCell ref="AC6:AC7"/>
  </mergeCells>
  <pageMargins left="0.39370078740157483" right="0.39370078740157483" top="0.19685039370078741" bottom="0.19685039370078741" header="0" footer="0"/>
  <pageSetup paperSize="9" scale="87" orientation="landscape" horizontalDpi="0" verticalDpi="0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7">
    <pageSetUpPr fitToPage="1"/>
  </sheetPr>
  <dimension ref="A1:AO41"/>
  <sheetViews>
    <sheetView topLeftCell="A4" zoomScaleNormal="100" workbookViewId="0">
      <pane xSplit="3" topLeftCell="AB1" activePane="topRight" state="frozen"/>
      <selection activeCell="C22" sqref="C21:C22"/>
      <selection pane="topRight" activeCell="C14" activeCellId="3" sqref="AI14 AC14 AB14 C14"/>
    </sheetView>
  </sheetViews>
  <sheetFormatPr baseColWidth="10" defaultRowHeight="15" x14ac:dyDescent="0.25"/>
  <cols>
    <col min="1" max="1" width="1.7109375" style="1" customWidth="1"/>
    <col min="2" max="2" width="10" style="1" customWidth="1"/>
    <col min="3" max="3" width="29.140625" style="1" customWidth="1"/>
    <col min="4" max="4" width="5.7109375" style="1" customWidth="1"/>
    <col min="5" max="5" width="10.7109375" style="1" customWidth="1"/>
    <col min="6" max="6" width="5.7109375" style="1" customWidth="1"/>
    <col min="7" max="7" width="10.7109375" style="1" customWidth="1"/>
    <col min="8" max="8" width="5.7109375" style="1" customWidth="1"/>
    <col min="9" max="9" width="10.7109375" style="1" customWidth="1"/>
    <col min="10" max="10" width="5.7109375" style="1" customWidth="1"/>
    <col min="11" max="11" width="10.7109375" style="1" customWidth="1"/>
    <col min="12" max="12" width="5.7109375" style="1" customWidth="1"/>
    <col min="13" max="13" width="10.7109375" style="1" customWidth="1"/>
    <col min="14" max="14" width="5.7109375" style="1" customWidth="1"/>
    <col min="15" max="15" width="10.7109375" style="1" customWidth="1"/>
    <col min="16" max="16" width="5.7109375" style="2" customWidth="1"/>
    <col min="17" max="17" width="10.7109375" style="2" customWidth="1"/>
    <col min="18" max="18" width="5.7109375" style="2" customWidth="1"/>
    <col min="19" max="19" width="10.7109375" style="2" customWidth="1"/>
    <col min="20" max="20" width="9.28515625" style="2" customWidth="1"/>
    <col min="21" max="21" width="10.7109375" style="2" customWidth="1"/>
    <col min="22" max="22" width="5.7109375" style="2" hidden="1" customWidth="1"/>
    <col min="23" max="23" width="10.7109375" style="2" hidden="1" customWidth="1"/>
    <col min="24" max="24" width="5.7109375" style="2" hidden="1" customWidth="1"/>
    <col min="25" max="25" width="10.7109375" style="2" hidden="1" customWidth="1"/>
    <col min="26" max="26" width="5.7109375" style="2" hidden="1" customWidth="1"/>
    <col min="27" max="27" width="10.7109375" style="1" hidden="1" customWidth="1"/>
    <col min="28" max="28" width="9.5703125" style="1" customWidth="1"/>
    <col min="29" max="29" width="14.5703125" style="1" bestFit="1" customWidth="1"/>
    <col min="30" max="30" width="3.28515625" style="1" customWidth="1"/>
    <col min="31" max="31" width="11.42578125" style="1"/>
    <col min="32" max="32" width="3.7109375" style="1" customWidth="1"/>
    <col min="33" max="33" width="10.140625" style="1" customWidth="1"/>
    <col min="34" max="34" width="3.7109375" style="1" customWidth="1"/>
    <col min="35" max="35" width="11.42578125" style="1"/>
    <col min="36" max="36" width="3.7109375" style="1" customWidth="1"/>
    <col min="37" max="37" width="5.7109375" style="1" customWidth="1"/>
    <col min="38" max="38" width="3.7109375" style="1" customWidth="1"/>
    <col min="39" max="39" width="5.7109375" style="1" customWidth="1"/>
    <col min="40" max="40" width="3.7109375" style="1" customWidth="1"/>
    <col min="41" max="41" width="5.7109375" style="1" customWidth="1"/>
    <col min="42" max="16384" width="11.42578125" style="1"/>
  </cols>
  <sheetData>
    <row r="1" spans="1:39" ht="5.25" customHeight="1" x14ac:dyDescent="0.25">
      <c r="Y1" s="1"/>
      <c r="Z1" s="1"/>
    </row>
    <row r="2" spans="1:39" ht="21" x14ac:dyDescent="0.35">
      <c r="B2" s="3" t="s">
        <v>0</v>
      </c>
      <c r="P2" s="1"/>
      <c r="Q2" s="4"/>
      <c r="Z2" s="1"/>
    </row>
    <row r="3" spans="1:39" ht="15" customHeight="1" x14ac:dyDescent="0.25">
      <c r="A3" s="5"/>
      <c r="B3" s="6" t="s">
        <v>1</v>
      </c>
      <c r="C3" s="7"/>
      <c r="D3" s="7"/>
      <c r="E3" s="7"/>
      <c r="F3" s="7"/>
      <c r="P3" s="1"/>
      <c r="Q3" s="353"/>
      <c r="R3" s="353"/>
      <c r="S3" s="353"/>
      <c r="T3" s="353"/>
      <c r="U3" s="252"/>
      <c r="V3" s="252"/>
      <c r="Z3" s="1"/>
    </row>
    <row r="4" spans="1:39" ht="18" customHeight="1" x14ac:dyDescent="0.25">
      <c r="B4" s="253" t="s">
        <v>2</v>
      </c>
      <c r="C4" s="354" t="s">
        <v>64</v>
      </c>
      <c r="D4" s="355"/>
      <c r="E4" s="253"/>
      <c r="F4" s="253"/>
      <c r="P4" s="1"/>
      <c r="Q4" s="9"/>
      <c r="R4" s="10"/>
      <c r="S4" s="9"/>
      <c r="T4" s="9"/>
      <c r="U4" s="9"/>
      <c r="V4" s="9"/>
      <c r="Z4" s="1"/>
    </row>
    <row r="5" spans="1:39" ht="15.75" thickBot="1" x14ac:dyDescent="0.3">
      <c r="A5" s="253"/>
      <c r="B5" s="253"/>
      <c r="C5" s="253"/>
      <c r="D5" s="253"/>
      <c r="E5" s="253"/>
      <c r="J5" s="253"/>
      <c r="K5" s="253"/>
      <c r="P5" s="1"/>
      <c r="Q5" s="1"/>
      <c r="R5" s="1"/>
      <c r="S5" s="1"/>
      <c r="T5" s="1"/>
      <c r="U5" s="1"/>
      <c r="V5" s="9"/>
      <c r="W5" s="9"/>
      <c r="X5" s="9"/>
      <c r="Y5" s="9"/>
      <c r="Z5" s="9"/>
      <c r="AA5" s="9"/>
      <c r="AB5" s="2"/>
      <c r="AC5" s="2"/>
      <c r="AD5" s="2"/>
    </row>
    <row r="6" spans="1:39" ht="27.75" customHeight="1" thickBot="1" x14ac:dyDescent="0.3">
      <c r="B6" s="356" t="s">
        <v>3</v>
      </c>
      <c r="C6" s="343" t="s">
        <v>4</v>
      </c>
      <c r="D6" s="358" t="s">
        <v>43</v>
      </c>
      <c r="E6" s="359"/>
      <c r="F6" s="360"/>
      <c r="G6" s="360"/>
      <c r="H6" s="360"/>
      <c r="I6" s="361"/>
      <c r="J6" s="370" t="s">
        <v>42</v>
      </c>
      <c r="K6" s="371"/>
      <c r="L6" s="372"/>
      <c r="M6" s="372"/>
      <c r="N6" s="372"/>
      <c r="O6" s="373"/>
      <c r="P6" s="362" t="s">
        <v>31</v>
      </c>
      <c r="Q6" s="363"/>
      <c r="R6" s="364"/>
      <c r="S6" s="364"/>
      <c r="T6" s="364"/>
      <c r="U6" s="365"/>
      <c r="V6" s="366" t="s">
        <v>31</v>
      </c>
      <c r="W6" s="367"/>
      <c r="X6" s="368"/>
      <c r="Y6" s="368"/>
      <c r="Z6" s="368"/>
      <c r="AA6" s="369"/>
      <c r="AB6" s="349" t="s">
        <v>5</v>
      </c>
      <c r="AC6" s="349" t="s">
        <v>6</v>
      </c>
      <c r="AD6" s="2"/>
      <c r="AE6" s="351" t="s">
        <v>7</v>
      </c>
      <c r="AF6" s="2"/>
    </row>
    <row r="7" spans="1:39" ht="25.5" customHeight="1" thickBot="1" x14ac:dyDescent="0.3">
      <c r="B7" s="357"/>
      <c r="C7" s="344"/>
      <c r="D7" s="11" t="s">
        <v>8</v>
      </c>
      <c r="E7" s="12" t="s">
        <v>9</v>
      </c>
      <c r="F7" s="13" t="s">
        <v>8</v>
      </c>
      <c r="G7" s="14" t="s">
        <v>9</v>
      </c>
      <c r="H7" s="11" t="s">
        <v>5</v>
      </c>
      <c r="I7" s="14" t="s">
        <v>10</v>
      </c>
      <c r="J7" s="190" t="s">
        <v>8</v>
      </c>
      <c r="K7" s="192" t="s">
        <v>9</v>
      </c>
      <c r="L7" s="191" t="s">
        <v>8</v>
      </c>
      <c r="M7" s="192" t="s">
        <v>9</v>
      </c>
      <c r="N7" s="190" t="s">
        <v>5</v>
      </c>
      <c r="O7" s="192" t="s">
        <v>10</v>
      </c>
      <c r="P7" s="15" t="s">
        <v>8</v>
      </c>
      <c r="Q7" s="16" t="s">
        <v>9</v>
      </c>
      <c r="R7" s="17" t="s">
        <v>8</v>
      </c>
      <c r="S7" s="16" t="s">
        <v>9</v>
      </c>
      <c r="T7" s="15" t="s">
        <v>5</v>
      </c>
      <c r="U7" s="16" t="s">
        <v>10</v>
      </c>
      <c r="V7" s="18" t="s">
        <v>8</v>
      </c>
      <c r="W7" s="19" t="s">
        <v>9</v>
      </c>
      <c r="X7" s="20" t="s">
        <v>8</v>
      </c>
      <c r="Y7" s="21" t="s">
        <v>9</v>
      </c>
      <c r="Z7" s="18" t="s">
        <v>5</v>
      </c>
      <c r="AA7" s="21" t="s">
        <v>10</v>
      </c>
      <c r="AB7" s="350"/>
      <c r="AC7" s="350"/>
      <c r="AD7" s="2"/>
      <c r="AE7" s="352"/>
      <c r="AG7" s="22" t="s">
        <v>11</v>
      </c>
      <c r="AI7" s="22" t="s">
        <v>12</v>
      </c>
    </row>
    <row r="8" spans="1:39" x14ac:dyDescent="0.25">
      <c r="B8" s="173">
        <v>6320</v>
      </c>
      <c r="C8" s="157" t="s">
        <v>13</v>
      </c>
      <c r="D8" s="24"/>
      <c r="E8" s="25">
        <f>+D8*B8</f>
        <v>0</v>
      </c>
      <c r="F8" s="26">
        <v>4</v>
      </c>
      <c r="G8" s="27">
        <f>6320*4</f>
        <v>25280</v>
      </c>
      <c r="H8" s="28">
        <f>D8+F8</f>
        <v>4</v>
      </c>
      <c r="I8" s="29">
        <f>E8+G8</f>
        <v>25280</v>
      </c>
      <c r="J8" s="199"/>
      <c r="K8" s="249">
        <f>+J8*B8</f>
        <v>0</v>
      </c>
      <c r="L8" s="222"/>
      <c r="M8" s="202"/>
      <c r="N8" s="193">
        <f>J8+L8</f>
        <v>0</v>
      </c>
      <c r="O8" s="194">
        <f>K8+M8</f>
        <v>0</v>
      </c>
      <c r="P8" s="30"/>
      <c r="Q8" s="290">
        <f>+P8*B8</f>
        <v>0</v>
      </c>
      <c r="R8" s="32">
        <v>12</v>
      </c>
      <c r="S8" s="33">
        <f>6320*12</f>
        <v>75840</v>
      </c>
      <c r="T8" s="34">
        <f>P8+R8</f>
        <v>12</v>
      </c>
      <c r="U8" s="35">
        <f>Q8+S8</f>
        <v>75840</v>
      </c>
      <c r="V8" s="36"/>
      <c r="W8" s="37">
        <f t="shared" ref="W8:W19" si="0">+V8*B8</f>
        <v>0</v>
      </c>
      <c r="X8" s="38"/>
      <c r="Y8" s="39"/>
      <c r="Z8" s="40">
        <f>V8+X8</f>
        <v>0</v>
      </c>
      <c r="AA8" s="41">
        <f>Y8+W8</f>
        <v>0</v>
      </c>
      <c r="AB8" s="152">
        <f>+D8+F8+P8+R8+V8+X8+J8+L8</f>
        <v>16</v>
      </c>
      <c r="AC8" s="220">
        <f>+E8+G8+Q8+S8+W8+Y8+K8+M8</f>
        <v>101120</v>
      </c>
      <c r="AD8" s="44"/>
      <c r="AE8" s="45"/>
      <c r="AG8" s="187">
        <f>E8+W8+Q8+K8</f>
        <v>0</v>
      </c>
      <c r="AI8" s="156">
        <f>G8+Y8+S8+M8</f>
        <v>101120</v>
      </c>
      <c r="AK8" s="139">
        <f>F8+R8+X8+L8</f>
        <v>16</v>
      </c>
      <c r="AM8" s="139">
        <f>+D8+P8+V8+J8</f>
        <v>0</v>
      </c>
    </row>
    <row r="9" spans="1:39" x14ac:dyDescent="0.25">
      <c r="B9" s="174">
        <v>6320</v>
      </c>
      <c r="C9" s="180" t="s">
        <v>14</v>
      </c>
      <c r="D9" s="47"/>
      <c r="E9" s="48">
        <f t="shared" ref="E9:E19" si="1">+D9*B9</f>
        <v>0</v>
      </c>
      <c r="F9" s="49"/>
      <c r="G9" s="50"/>
      <c r="H9" s="51">
        <f>D9+F9</f>
        <v>0</v>
      </c>
      <c r="I9" s="52">
        <f>G9+E9</f>
        <v>0</v>
      </c>
      <c r="J9" s="203"/>
      <c r="K9" s="248">
        <f t="shared" ref="K9:K19" si="2">+J9*B9</f>
        <v>0</v>
      </c>
      <c r="L9" s="223">
        <v>4</v>
      </c>
      <c r="M9" s="206">
        <f>6320*4</f>
        <v>25280</v>
      </c>
      <c r="N9" s="195">
        <f>J9+L9</f>
        <v>4</v>
      </c>
      <c r="O9" s="196">
        <f>M9+K9</f>
        <v>25280</v>
      </c>
      <c r="P9" s="53"/>
      <c r="Q9" s="31">
        <f t="shared" ref="Q9:Q19" si="3">+P9*B9</f>
        <v>0</v>
      </c>
      <c r="R9" s="55">
        <v>4</v>
      </c>
      <c r="S9" s="56">
        <f>6320*4</f>
        <v>25280</v>
      </c>
      <c r="T9" s="57">
        <f>P9+R9</f>
        <v>4</v>
      </c>
      <c r="U9" s="58">
        <f>S9+Q9</f>
        <v>25280</v>
      </c>
      <c r="V9" s="59"/>
      <c r="W9" s="60">
        <f t="shared" si="0"/>
        <v>0</v>
      </c>
      <c r="X9" s="61"/>
      <c r="Y9" s="62"/>
      <c r="Z9" s="63">
        <f>V9+X9</f>
        <v>0</v>
      </c>
      <c r="AA9" s="41">
        <f>Y9+W9</f>
        <v>0</v>
      </c>
      <c r="AB9" s="152">
        <f t="shared" ref="AB9:AB22" si="4">+D9+F9+P9+R9+V9+X9+J9+L9</f>
        <v>8</v>
      </c>
      <c r="AC9" s="339">
        <f t="shared" ref="AC9:AC22" si="5">+E9+G9+Q9+S9+W9+Y9+K9+M9</f>
        <v>50560</v>
      </c>
      <c r="AD9" s="44"/>
      <c r="AE9" s="64"/>
      <c r="AG9" s="251">
        <f t="shared" ref="AG9:AG22" si="6">E9+W9+Q9+K9</f>
        <v>0</v>
      </c>
      <c r="AI9" s="151">
        <f t="shared" ref="AI9:AI22" si="7">G9+Y9+S9+M9</f>
        <v>50560</v>
      </c>
      <c r="AK9" s="142">
        <f t="shared" ref="AK9:AK22" si="8">F9+R9+X9+L9</f>
        <v>8</v>
      </c>
      <c r="AM9" s="142">
        <f t="shared" ref="AM9:AM22" si="9">+D9+P9+V9+J9</f>
        <v>0</v>
      </c>
    </row>
    <row r="10" spans="1:39" x14ac:dyDescent="0.25">
      <c r="B10" s="174">
        <v>6320</v>
      </c>
      <c r="C10" s="46" t="s">
        <v>16</v>
      </c>
      <c r="D10" s="47"/>
      <c r="E10" s="48">
        <f t="shared" si="1"/>
        <v>0</v>
      </c>
      <c r="F10" s="49"/>
      <c r="G10" s="50"/>
      <c r="H10" s="51">
        <f t="shared" ref="H10:H22" si="10">D10+F10</f>
        <v>0</v>
      </c>
      <c r="I10" s="52">
        <f t="shared" ref="I10:I22" si="11">G10+E10</f>
        <v>0</v>
      </c>
      <c r="J10" s="203"/>
      <c r="K10" s="248">
        <f t="shared" si="2"/>
        <v>0</v>
      </c>
      <c r="L10" s="223"/>
      <c r="M10" s="206"/>
      <c r="N10" s="195">
        <f t="shared" ref="N10:N22" si="12">J10+L10</f>
        <v>0</v>
      </c>
      <c r="O10" s="196">
        <f t="shared" ref="O10:O22" si="13">M10+K10</f>
        <v>0</v>
      </c>
      <c r="P10" s="53"/>
      <c r="Q10" s="31">
        <f t="shared" si="3"/>
        <v>0</v>
      </c>
      <c r="R10" s="55"/>
      <c r="S10" s="56"/>
      <c r="T10" s="57">
        <f t="shared" ref="T10:T22" si="14">P10+R10</f>
        <v>0</v>
      </c>
      <c r="U10" s="58">
        <f t="shared" ref="U10:U22" si="15">S10+Q10</f>
        <v>0</v>
      </c>
      <c r="V10" s="59"/>
      <c r="W10" s="60">
        <f t="shared" si="0"/>
        <v>0</v>
      </c>
      <c r="X10" s="61"/>
      <c r="Y10" s="62"/>
      <c r="Z10" s="63">
        <f t="shared" ref="Z10:Z22" si="16">V10+X10</f>
        <v>0</v>
      </c>
      <c r="AA10" s="41">
        <f t="shared" ref="AA10:AA22" si="17">Y10+W10</f>
        <v>0</v>
      </c>
      <c r="AB10" s="42">
        <f t="shared" si="4"/>
        <v>0</v>
      </c>
      <c r="AC10" s="188">
        <f t="shared" si="5"/>
        <v>0</v>
      </c>
      <c r="AD10" s="44"/>
      <c r="AE10" s="64"/>
      <c r="AG10" s="218">
        <f t="shared" si="6"/>
        <v>0</v>
      </c>
      <c r="AI10" s="64">
        <f t="shared" si="7"/>
        <v>0</v>
      </c>
      <c r="AK10" s="142">
        <f t="shared" si="8"/>
        <v>0</v>
      </c>
      <c r="AM10" s="142">
        <f t="shared" si="9"/>
        <v>0</v>
      </c>
    </row>
    <row r="11" spans="1:39" x14ac:dyDescent="0.25">
      <c r="B11" s="174">
        <v>6320</v>
      </c>
      <c r="C11" s="153" t="s">
        <v>17</v>
      </c>
      <c r="D11" s="65"/>
      <c r="E11" s="48">
        <f t="shared" si="1"/>
        <v>0</v>
      </c>
      <c r="F11" s="49"/>
      <c r="G11" s="50"/>
      <c r="H11" s="51">
        <f t="shared" si="10"/>
        <v>0</v>
      </c>
      <c r="I11" s="52">
        <f t="shared" si="11"/>
        <v>0</v>
      </c>
      <c r="J11" s="207"/>
      <c r="K11" s="248">
        <f t="shared" si="2"/>
        <v>0</v>
      </c>
      <c r="L11" s="223">
        <v>11</v>
      </c>
      <c r="M11" s="206">
        <f>3792+632+3160+1264+6320*7</f>
        <v>53088</v>
      </c>
      <c r="N11" s="195">
        <f t="shared" si="12"/>
        <v>11</v>
      </c>
      <c r="O11" s="196">
        <f t="shared" si="13"/>
        <v>53088</v>
      </c>
      <c r="P11" s="66"/>
      <c r="Q11" s="31">
        <f t="shared" si="3"/>
        <v>0</v>
      </c>
      <c r="R11" s="67">
        <v>12</v>
      </c>
      <c r="S11" s="56">
        <f>6320*11+3160</f>
        <v>72680</v>
      </c>
      <c r="T11" s="57">
        <f t="shared" si="14"/>
        <v>12</v>
      </c>
      <c r="U11" s="58">
        <f t="shared" si="15"/>
        <v>72680</v>
      </c>
      <c r="V11" s="68"/>
      <c r="W11" s="60">
        <f t="shared" si="0"/>
        <v>0</v>
      </c>
      <c r="X11" s="69"/>
      <c r="Y11" s="62"/>
      <c r="Z11" s="63">
        <f t="shared" si="16"/>
        <v>0</v>
      </c>
      <c r="AA11" s="41">
        <f t="shared" si="17"/>
        <v>0</v>
      </c>
      <c r="AB11" s="152">
        <f t="shared" si="4"/>
        <v>23</v>
      </c>
      <c r="AC11" s="220">
        <f t="shared" si="5"/>
        <v>125768</v>
      </c>
      <c r="AD11" s="70"/>
      <c r="AE11" s="151">
        <f>2528+5688+3160*2+5056</f>
        <v>19592</v>
      </c>
      <c r="AG11" s="218">
        <f t="shared" si="6"/>
        <v>0</v>
      </c>
      <c r="AI11" s="151">
        <f t="shared" si="7"/>
        <v>125768</v>
      </c>
      <c r="AK11" s="142">
        <f t="shared" si="8"/>
        <v>23</v>
      </c>
      <c r="AM11" s="142">
        <f t="shared" si="9"/>
        <v>0</v>
      </c>
    </row>
    <row r="12" spans="1:39" x14ac:dyDescent="0.25">
      <c r="B12" s="174">
        <v>6320</v>
      </c>
      <c r="C12" s="153" t="s">
        <v>18</v>
      </c>
      <c r="D12" s="65"/>
      <c r="E12" s="48">
        <f t="shared" si="1"/>
        <v>0</v>
      </c>
      <c r="F12" s="49"/>
      <c r="G12" s="50"/>
      <c r="H12" s="51">
        <f t="shared" si="10"/>
        <v>0</v>
      </c>
      <c r="I12" s="52">
        <f t="shared" si="11"/>
        <v>0</v>
      </c>
      <c r="J12" s="207"/>
      <c r="K12" s="248">
        <f t="shared" si="2"/>
        <v>0</v>
      </c>
      <c r="L12" s="223">
        <v>9</v>
      </c>
      <c r="M12" s="206">
        <f>6320*8+2528</f>
        <v>53088</v>
      </c>
      <c r="N12" s="195">
        <f t="shared" si="12"/>
        <v>9</v>
      </c>
      <c r="O12" s="196">
        <f t="shared" si="13"/>
        <v>53088</v>
      </c>
      <c r="P12" s="66"/>
      <c r="Q12" s="31">
        <f t="shared" si="3"/>
        <v>0</v>
      </c>
      <c r="R12" s="67">
        <v>2</v>
      </c>
      <c r="S12" s="56">
        <f>6320*2</f>
        <v>12640</v>
      </c>
      <c r="T12" s="57">
        <f t="shared" si="14"/>
        <v>2</v>
      </c>
      <c r="U12" s="58">
        <f t="shared" si="15"/>
        <v>12640</v>
      </c>
      <c r="V12" s="68"/>
      <c r="W12" s="60">
        <f t="shared" si="0"/>
        <v>0</v>
      </c>
      <c r="X12" s="69"/>
      <c r="Y12" s="62"/>
      <c r="Z12" s="63">
        <f t="shared" si="16"/>
        <v>0</v>
      </c>
      <c r="AA12" s="41">
        <f t="shared" si="17"/>
        <v>0</v>
      </c>
      <c r="AB12" s="152">
        <f t="shared" si="4"/>
        <v>11</v>
      </c>
      <c r="AC12" s="220">
        <f t="shared" si="5"/>
        <v>65728</v>
      </c>
      <c r="AD12" s="71"/>
      <c r="AE12" s="151">
        <v>3792</v>
      </c>
      <c r="AG12" s="218">
        <f t="shared" si="6"/>
        <v>0</v>
      </c>
      <c r="AI12" s="151">
        <f t="shared" si="7"/>
        <v>65728</v>
      </c>
      <c r="AK12" s="142">
        <f t="shared" si="8"/>
        <v>11</v>
      </c>
      <c r="AM12" s="142">
        <f t="shared" si="9"/>
        <v>0</v>
      </c>
    </row>
    <row r="13" spans="1:39" x14ac:dyDescent="0.25">
      <c r="B13" s="174">
        <v>6320</v>
      </c>
      <c r="C13" s="46" t="s">
        <v>19</v>
      </c>
      <c r="D13" s="65"/>
      <c r="E13" s="48">
        <f t="shared" si="1"/>
        <v>0</v>
      </c>
      <c r="F13" s="49"/>
      <c r="G13" s="50"/>
      <c r="H13" s="51">
        <f t="shared" si="10"/>
        <v>0</v>
      </c>
      <c r="I13" s="52">
        <f t="shared" si="11"/>
        <v>0</v>
      </c>
      <c r="J13" s="207"/>
      <c r="K13" s="248">
        <f t="shared" si="2"/>
        <v>0</v>
      </c>
      <c r="L13" s="223"/>
      <c r="M13" s="206"/>
      <c r="N13" s="195">
        <f t="shared" si="12"/>
        <v>0</v>
      </c>
      <c r="O13" s="196">
        <f t="shared" si="13"/>
        <v>0</v>
      </c>
      <c r="P13" s="66"/>
      <c r="Q13" s="31">
        <f t="shared" si="3"/>
        <v>0</v>
      </c>
      <c r="R13" s="67"/>
      <c r="S13" s="56"/>
      <c r="T13" s="57">
        <f t="shared" si="14"/>
        <v>0</v>
      </c>
      <c r="U13" s="58">
        <f t="shared" si="15"/>
        <v>0</v>
      </c>
      <c r="V13" s="68"/>
      <c r="W13" s="60">
        <f t="shared" si="0"/>
        <v>0</v>
      </c>
      <c r="X13" s="69"/>
      <c r="Y13" s="62"/>
      <c r="Z13" s="63">
        <f t="shared" si="16"/>
        <v>0</v>
      </c>
      <c r="AA13" s="41">
        <f t="shared" si="17"/>
        <v>0</v>
      </c>
      <c r="AB13" s="42">
        <f t="shared" si="4"/>
        <v>0</v>
      </c>
      <c r="AC13" s="188">
        <f t="shared" si="5"/>
        <v>0</v>
      </c>
      <c r="AD13" s="70"/>
      <c r="AE13" s="64"/>
      <c r="AG13" s="218">
        <f t="shared" si="6"/>
        <v>0</v>
      </c>
      <c r="AI13" s="64">
        <f t="shared" si="7"/>
        <v>0</v>
      </c>
      <c r="AK13" s="142">
        <f t="shared" si="8"/>
        <v>0</v>
      </c>
      <c r="AM13" s="142">
        <f t="shared" si="9"/>
        <v>0</v>
      </c>
    </row>
    <row r="14" spans="1:39" x14ac:dyDescent="0.25">
      <c r="B14" s="174">
        <v>6320</v>
      </c>
      <c r="C14" s="153" t="s">
        <v>20</v>
      </c>
      <c r="D14" s="65"/>
      <c r="E14" s="48">
        <f t="shared" si="1"/>
        <v>0</v>
      </c>
      <c r="F14" s="49"/>
      <c r="G14" s="50"/>
      <c r="H14" s="51">
        <f t="shared" si="10"/>
        <v>0</v>
      </c>
      <c r="I14" s="52">
        <f t="shared" si="11"/>
        <v>0</v>
      </c>
      <c r="J14" s="207"/>
      <c r="K14" s="248">
        <f t="shared" si="2"/>
        <v>0</v>
      </c>
      <c r="L14" s="223">
        <v>3</v>
      </c>
      <c r="M14" s="206">
        <f>6320*3</f>
        <v>18960</v>
      </c>
      <c r="N14" s="195">
        <f t="shared" si="12"/>
        <v>3</v>
      </c>
      <c r="O14" s="196">
        <f t="shared" si="13"/>
        <v>18960</v>
      </c>
      <c r="P14" s="66"/>
      <c r="Q14" s="31">
        <f t="shared" si="3"/>
        <v>0</v>
      </c>
      <c r="R14" s="67"/>
      <c r="S14" s="56"/>
      <c r="T14" s="57">
        <f t="shared" si="14"/>
        <v>0</v>
      </c>
      <c r="U14" s="58">
        <f t="shared" si="15"/>
        <v>0</v>
      </c>
      <c r="V14" s="68"/>
      <c r="W14" s="60">
        <f t="shared" si="0"/>
        <v>0</v>
      </c>
      <c r="X14" s="69"/>
      <c r="Y14" s="62"/>
      <c r="Z14" s="63">
        <f t="shared" si="16"/>
        <v>0</v>
      </c>
      <c r="AA14" s="41">
        <f t="shared" si="17"/>
        <v>0</v>
      </c>
      <c r="AB14" s="152">
        <f t="shared" si="4"/>
        <v>3</v>
      </c>
      <c r="AC14" s="220">
        <f t="shared" si="5"/>
        <v>18960</v>
      </c>
      <c r="AD14" s="70"/>
      <c r="AE14" s="64"/>
      <c r="AG14" s="218">
        <f t="shared" si="6"/>
        <v>0</v>
      </c>
      <c r="AI14" s="151">
        <f t="shared" si="7"/>
        <v>18960</v>
      </c>
      <c r="AK14" s="142">
        <f t="shared" si="8"/>
        <v>3</v>
      </c>
      <c r="AM14" s="142">
        <f t="shared" si="9"/>
        <v>0</v>
      </c>
    </row>
    <row r="15" spans="1:39" x14ac:dyDescent="0.25">
      <c r="B15" s="174">
        <v>6320</v>
      </c>
      <c r="C15" s="46" t="s">
        <v>21</v>
      </c>
      <c r="D15" s="65"/>
      <c r="E15" s="48">
        <f t="shared" si="1"/>
        <v>0</v>
      </c>
      <c r="F15" s="49"/>
      <c r="G15" s="50"/>
      <c r="H15" s="51">
        <f t="shared" si="10"/>
        <v>0</v>
      </c>
      <c r="I15" s="52">
        <f t="shared" si="11"/>
        <v>0</v>
      </c>
      <c r="J15" s="207"/>
      <c r="K15" s="248">
        <f t="shared" si="2"/>
        <v>0</v>
      </c>
      <c r="L15" s="223"/>
      <c r="M15" s="206"/>
      <c r="N15" s="195">
        <f t="shared" si="12"/>
        <v>0</v>
      </c>
      <c r="O15" s="196">
        <f t="shared" si="13"/>
        <v>0</v>
      </c>
      <c r="P15" s="66"/>
      <c r="Q15" s="31">
        <f t="shared" si="3"/>
        <v>0</v>
      </c>
      <c r="R15" s="67"/>
      <c r="S15" s="56"/>
      <c r="T15" s="57">
        <f t="shared" si="14"/>
        <v>0</v>
      </c>
      <c r="U15" s="58">
        <f t="shared" si="15"/>
        <v>0</v>
      </c>
      <c r="V15" s="68"/>
      <c r="W15" s="60">
        <f t="shared" si="0"/>
        <v>0</v>
      </c>
      <c r="X15" s="69"/>
      <c r="Y15" s="62"/>
      <c r="Z15" s="63">
        <f t="shared" si="16"/>
        <v>0</v>
      </c>
      <c r="AA15" s="41">
        <f t="shared" si="17"/>
        <v>0</v>
      </c>
      <c r="AB15" s="42">
        <f t="shared" si="4"/>
        <v>0</v>
      </c>
      <c r="AC15" s="188">
        <f t="shared" si="5"/>
        <v>0</v>
      </c>
      <c r="AD15" s="70"/>
      <c r="AE15" s="64"/>
      <c r="AG15" s="218">
        <f t="shared" si="6"/>
        <v>0</v>
      </c>
      <c r="AI15" s="64">
        <f t="shared" si="7"/>
        <v>0</v>
      </c>
      <c r="AK15" s="142">
        <f t="shared" si="8"/>
        <v>0</v>
      </c>
      <c r="AM15" s="142">
        <f t="shared" si="9"/>
        <v>0</v>
      </c>
    </row>
    <row r="16" spans="1:39" x14ac:dyDescent="0.25">
      <c r="B16" s="174" t="s">
        <v>26</v>
      </c>
      <c r="C16" s="46" t="s">
        <v>33</v>
      </c>
      <c r="D16" s="65"/>
      <c r="E16" s="48">
        <v>0</v>
      </c>
      <c r="F16" s="49"/>
      <c r="G16" s="50"/>
      <c r="H16" s="51">
        <f t="shared" si="10"/>
        <v>0</v>
      </c>
      <c r="I16" s="52">
        <f t="shared" si="11"/>
        <v>0</v>
      </c>
      <c r="J16" s="207"/>
      <c r="K16" s="248">
        <v>0</v>
      </c>
      <c r="L16" s="223"/>
      <c r="M16" s="206"/>
      <c r="N16" s="195">
        <f t="shared" si="12"/>
        <v>0</v>
      </c>
      <c r="O16" s="196">
        <f t="shared" si="13"/>
        <v>0</v>
      </c>
      <c r="P16" s="66"/>
      <c r="Q16" s="31">
        <v>0</v>
      </c>
      <c r="R16" s="67"/>
      <c r="S16" s="56"/>
      <c r="T16" s="57">
        <f t="shared" si="14"/>
        <v>0</v>
      </c>
      <c r="U16" s="58">
        <f t="shared" si="15"/>
        <v>0</v>
      </c>
      <c r="V16" s="68"/>
      <c r="W16" s="60">
        <v>0</v>
      </c>
      <c r="X16" s="69"/>
      <c r="Y16" s="62"/>
      <c r="Z16" s="63">
        <f>+X16+V16</f>
        <v>0</v>
      </c>
      <c r="AA16" s="41">
        <f>+Y16+W16</f>
        <v>0</v>
      </c>
      <c r="AB16" s="42">
        <f t="shared" si="4"/>
        <v>0</v>
      </c>
      <c r="AC16" s="188">
        <f t="shared" si="5"/>
        <v>0</v>
      </c>
      <c r="AD16" s="70"/>
      <c r="AE16" s="64"/>
      <c r="AG16" s="218">
        <f t="shared" si="6"/>
        <v>0</v>
      </c>
      <c r="AI16" s="64">
        <f t="shared" si="7"/>
        <v>0</v>
      </c>
      <c r="AK16" s="142">
        <f t="shared" si="8"/>
        <v>0</v>
      </c>
      <c r="AM16" s="142">
        <f t="shared" si="9"/>
        <v>0</v>
      </c>
    </row>
    <row r="17" spans="2:41" x14ac:dyDescent="0.25">
      <c r="B17" s="175">
        <v>14010</v>
      </c>
      <c r="C17" s="46" t="s">
        <v>23</v>
      </c>
      <c r="D17" s="65"/>
      <c r="E17" s="48">
        <f t="shared" si="1"/>
        <v>0</v>
      </c>
      <c r="F17" s="49"/>
      <c r="G17" s="50"/>
      <c r="H17" s="51">
        <f t="shared" si="10"/>
        <v>0</v>
      </c>
      <c r="I17" s="52">
        <f t="shared" si="11"/>
        <v>0</v>
      </c>
      <c r="J17" s="207"/>
      <c r="K17" s="248">
        <f t="shared" si="2"/>
        <v>0</v>
      </c>
      <c r="L17" s="223"/>
      <c r="M17" s="206"/>
      <c r="N17" s="195">
        <f t="shared" si="12"/>
        <v>0</v>
      </c>
      <c r="O17" s="196">
        <f t="shared" si="13"/>
        <v>0</v>
      </c>
      <c r="P17" s="66"/>
      <c r="Q17" s="31">
        <f t="shared" si="3"/>
        <v>0</v>
      </c>
      <c r="R17" s="67"/>
      <c r="S17" s="56"/>
      <c r="T17" s="57">
        <f t="shared" si="14"/>
        <v>0</v>
      </c>
      <c r="U17" s="58">
        <f t="shared" si="15"/>
        <v>0</v>
      </c>
      <c r="V17" s="68"/>
      <c r="W17" s="60">
        <f t="shared" si="0"/>
        <v>0</v>
      </c>
      <c r="X17" s="69"/>
      <c r="Y17" s="62"/>
      <c r="Z17" s="63">
        <f t="shared" si="16"/>
        <v>0</v>
      </c>
      <c r="AA17" s="41">
        <f t="shared" si="17"/>
        <v>0</v>
      </c>
      <c r="AB17" s="42">
        <f t="shared" si="4"/>
        <v>0</v>
      </c>
      <c r="AC17" s="188">
        <f t="shared" si="5"/>
        <v>0</v>
      </c>
      <c r="AD17" s="70"/>
      <c r="AE17" s="64"/>
      <c r="AG17" s="218">
        <f t="shared" si="6"/>
        <v>0</v>
      </c>
      <c r="AI17" s="64">
        <f t="shared" si="7"/>
        <v>0</v>
      </c>
      <c r="AK17" s="142">
        <f t="shared" si="8"/>
        <v>0</v>
      </c>
      <c r="AM17" s="142">
        <f t="shared" si="9"/>
        <v>0</v>
      </c>
    </row>
    <row r="18" spans="2:41" x14ac:dyDescent="0.25">
      <c r="B18" s="174">
        <v>11870</v>
      </c>
      <c r="C18" s="46" t="s">
        <v>24</v>
      </c>
      <c r="D18" s="65"/>
      <c r="E18" s="48">
        <f t="shared" si="1"/>
        <v>0</v>
      </c>
      <c r="F18" s="49"/>
      <c r="G18" s="50"/>
      <c r="H18" s="51">
        <f t="shared" si="10"/>
        <v>0</v>
      </c>
      <c r="I18" s="52">
        <f t="shared" si="11"/>
        <v>0</v>
      </c>
      <c r="J18" s="207"/>
      <c r="K18" s="248">
        <f t="shared" si="2"/>
        <v>0</v>
      </c>
      <c r="L18" s="223"/>
      <c r="M18" s="206"/>
      <c r="N18" s="195">
        <f t="shared" si="12"/>
        <v>0</v>
      </c>
      <c r="O18" s="196">
        <f t="shared" si="13"/>
        <v>0</v>
      </c>
      <c r="P18" s="66"/>
      <c r="Q18" s="31">
        <f t="shared" si="3"/>
        <v>0</v>
      </c>
      <c r="R18" s="67"/>
      <c r="S18" s="56"/>
      <c r="T18" s="57">
        <f t="shared" si="14"/>
        <v>0</v>
      </c>
      <c r="U18" s="58">
        <f t="shared" si="15"/>
        <v>0</v>
      </c>
      <c r="V18" s="68"/>
      <c r="W18" s="60">
        <f t="shared" si="0"/>
        <v>0</v>
      </c>
      <c r="X18" s="69"/>
      <c r="Y18" s="62"/>
      <c r="Z18" s="63">
        <f t="shared" si="16"/>
        <v>0</v>
      </c>
      <c r="AA18" s="41">
        <f t="shared" si="17"/>
        <v>0</v>
      </c>
      <c r="AB18" s="42">
        <f t="shared" si="4"/>
        <v>0</v>
      </c>
      <c r="AC18" s="188">
        <f t="shared" si="5"/>
        <v>0</v>
      </c>
      <c r="AD18" s="70"/>
      <c r="AE18" s="64"/>
      <c r="AG18" s="218">
        <f t="shared" si="6"/>
        <v>0</v>
      </c>
      <c r="AI18" s="64">
        <f t="shared" si="7"/>
        <v>0</v>
      </c>
      <c r="AK18" s="142">
        <f t="shared" si="8"/>
        <v>0</v>
      </c>
      <c r="AM18" s="142">
        <f t="shared" si="9"/>
        <v>0</v>
      </c>
    </row>
    <row r="19" spans="2:41" x14ac:dyDescent="0.25">
      <c r="B19" s="174">
        <v>6710</v>
      </c>
      <c r="C19" s="46" t="s">
        <v>0</v>
      </c>
      <c r="D19" s="65"/>
      <c r="E19" s="48">
        <f t="shared" si="1"/>
        <v>0</v>
      </c>
      <c r="F19" s="72"/>
      <c r="G19" s="50"/>
      <c r="H19" s="51">
        <f t="shared" si="10"/>
        <v>0</v>
      </c>
      <c r="I19" s="52">
        <f t="shared" si="11"/>
        <v>0</v>
      </c>
      <c r="J19" s="207"/>
      <c r="K19" s="248">
        <f t="shared" si="2"/>
        <v>0</v>
      </c>
      <c r="L19" s="224"/>
      <c r="M19" s="206"/>
      <c r="N19" s="195">
        <f t="shared" si="12"/>
        <v>0</v>
      </c>
      <c r="O19" s="196">
        <f t="shared" si="13"/>
        <v>0</v>
      </c>
      <c r="P19" s="66"/>
      <c r="Q19" s="31">
        <f t="shared" si="3"/>
        <v>0</v>
      </c>
      <c r="R19" s="73"/>
      <c r="S19" s="56"/>
      <c r="T19" s="57">
        <f t="shared" si="14"/>
        <v>0</v>
      </c>
      <c r="U19" s="58">
        <f t="shared" si="15"/>
        <v>0</v>
      </c>
      <c r="V19" s="68"/>
      <c r="W19" s="60">
        <f t="shared" si="0"/>
        <v>0</v>
      </c>
      <c r="X19" s="74"/>
      <c r="Y19" s="62"/>
      <c r="Z19" s="63">
        <f t="shared" si="16"/>
        <v>0</v>
      </c>
      <c r="AA19" s="41">
        <f t="shared" si="17"/>
        <v>0</v>
      </c>
      <c r="AB19" s="42">
        <f t="shared" si="4"/>
        <v>0</v>
      </c>
      <c r="AC19" s="188">
        <f t="shared" si="5"/>
        <v>0</v>
      </c>
      <c r="AD19" s="70"/>
      <c r="AE19" s="64"/>
      <c r="AF19" s="1" t="s">
        <v>25</v>
      </c>
      <c r="AG19" s="218">
        <f t="shared" si="6"/>
        <v>0</v>
      </c>
      <c r="AI19" s="64">
        <f t="shared" si="7"/>
        <v>0</v>
      </c>
      <c r="AK19" s="142">
        <f t="shared" si="8"/>
        <v>0</v>
      </c>
      <c r="AM19" s="142">
        <f t="shared" si="9"/>
        <v>0</v>
      </c>
    </row>
    <row r="20" spans="2:41" x14ac:dyDescent="0.25">
      <c r="B20" s="174" t="s">
        <v>26</v>
      </c>
      <c r="C20" s="46" t="s">
        <v>0</v>
      </c>
      <c r="D20" s="65"/>
      <c r="E20" s="48">
        <v>0</v>
      </c>
      <c r="F20" s="49"/>
      <c r="G20" s="50"/>
      <c r="H20" s="51">
        <f t="shared" si="10"/>
        <v>0</v>
      </c>
      <c r="I20" s="52">
        <f t="shared" si="11"/>
        <v>0</v>
      </c>
      <c r="J20" s="207"/>
      <c r="K20" s="248">
        <v>0</v>
      </c>
      <c r="L20" s="223"/>
      <c r="M20" s="206"/>
      <c r="N20" s="195">
        <f t="shared" si="12"/>
        <v>0</v>
      </c>
      <c r="O20" s="196">
        <f t="shared" si="13"/>
        <v>0</v>
      </c>
      <c r="P20" s="66"/>
      <c r="Q20" s="31">
        <v>0</v>
      </c>
      <c r="R20" s="67"/>
      <c r="S20" s="56"/>
      <c r="T20" s="57">
        <f t="shared" si="14"/>
        <v>0</v>
      </c>
      <c r="U20" s="58">
        <f t="shared" si="15"/>
        <v>0</v>
      </c>
      <c r="V20" s="68"/>
      <c r="W20" s="60">
        <v>0</v>
      </c>
      <c r="X20" s="69"/>
      <c r="Y20" s="62"/>
      <c r="Z20" s="63">
        <f t="shared" si="16"/>
        <v>0</v>
      </c>
      <c r="AA20" s="41">
        <f t="shared" si="17"/>
        <v>0</v>
      </c>
      <c r="AB20" s="42">
        <f t="shared" si="4"/>
        <v>0</v>
      </c>
      <c r="AC20" s="188">
        <f t="shared" si="5"/>
        <v>0</v>
      </c>
      <c r="AD20" s="70"/>
      <c r="AE20" s="64"/>
      <c r="AG20" s="218">
        <f t="shared" si="6"/>
        <v>0</v>
      </c>
      <c r="AI20" s="64">
        <f t="shared" si="7"/>
        <v>0</v>
      </c>
      <c r="AK20" s="142">
        <f t="shared" si="8"/>
        <v>0</v>
      </c>
      <c r="AM20" s="142">
        <f t="shared" si="9"/>
        <v>0</v>
      </c>
    </row>
    <row r="21" spans="2:41" x14ac:dyDescent="0.25">
      <c r="B21" s="174" t="s">
        <v>26</v>
      </c>
      <c r="C21" s="153" t="s">
        <v>28</v>
      </c>
      <c r="D21" s="65"/>
      <c r="E21" s="75">
        <v>0</v>
      </c>
      <c r="F21" s="49"/>
      <c r="G21" s="50"/>
      <c r="H21" s="51">
        <f t="shared" si="10"/>
        <v>0</v>
      </c>
      <c r="I21" s="52">
        <f t="shared" si="11"/>
        <v>0</v>
      </c>
      <c r="J21" s="207"/>
      <c r="K21" s="248">
        <v>0</v>
      </c>
      <c r="L21" s="223">
        <v>2</v>
      </c>
      <c r="M21" s="206">
        <f>8580+41860</f>
        <v>50440</v>
      </c>
      <c r="N21" s="195">
        <f t="shared" si="12"/>
        <v>2</v>
      </c>
      <c r="O21" s="196">
        <f t="shared" si="13"/>
        <v>50440</v>
      </c>
      <c r="P21" s="66"/>
      <c r="Q21" s="31">
        <v>0</v>
      </c>
      <c r="R21" s="67">
        <v>3</v>
      </c>
      <c r="S21" s="56">
        <f>55610+8580+24700</f>
        <v>88890</v>
      </c>
      <c r="T21" s="57">
        <f t="shared" si="14"/>
        <v>3</v>
      </c>
      <c r="U21" s="58">
        <f t="shared" si="15"/>
        <v>88890</v>
      </c>
      <c r="V21" s="68"/>
      <c r="W21" s="60">
        <v>0</v>
      </c>
      <c r="X21" s="69"/>
      <c r="Y21" s="62"/>
      <c r="Z21" s="63">
        <f t="shared" si="16"/>
        <v>0</v>
      </c>
      <c r="AA21" s="41">
        <f t="shared" si="17"/>
        <v>0</v>
      </c>
      <c r="AB21" s="152">
        <f t="shared" si="4"/>
        <v>5</v>
      </c>
      <c r="AC21" s="220">
        <f t="shared" si="5"/>
        <v>139330</v>
      </c>
      <c r="AD21" s="70"/>
      <c r="AE21" s="151">
        <f>8580*2</f>
        <v>17160</v>
      </c>
      <c r="AG21" s="218">
        <f t="shared" si="6"/>
        <v>0</v>
      </c>
      <c r="AI21" s="151">
        <f t="shared" si="7"/>
        <v>139330</v>
      </c>
      <c r="AK21" s="142">
        <f t="shared" si="8"/>
        <v>5</v>
      </c>
      <c r="AM21" s="142">
        <f t="shared" si="9"/>
        <v>0</v>
      </c>
    </row>
    <row r="22" spans="2:41" ht="15.75" thickBot="1" x14ac:dyDescent="0.3">
      <c r="B22" s="176" t="s">
        <v>26</v>
      </c>
      <c r="C22" s="155" t="s">
        <v>29</v>
      </c>
      <c r="D22" s="77"/>
      <c r="E22" s="78">
        <v>0</v>
      </c>
      <c r="F22" s="79">
        <v>4</v>
      </c>
      <c r="G22" s="80">
        <f>13180+12380+8320+20830</f>
        <v>54710</v>
      </c>
      <c r="H22" s="81">
        <f t="shared" si="10"/>
        <v>4</v>
      </c>
      <c r="I22" s="82">
        <f t="shared" si="11"/>
        <v>54710</v>
      </c>
      <c r="J22" s="210"/>
      <c r="K22" s="250">
        <v>0</v>
      </c>
      <c r="L22" s="225">
        <v>5</v>
      </c>
      <c r="M22" s="213">
        <f>14750+13180*2+8450+27920</f>
        <v>77480</v>
      </c>
      <c r="N22" s="197">
        <f t="shared" si="12"/>
        <v>5</v>
      </c>
      <c r="O22" s="198">
        <f t="shared" si="13"/>
        <v>77480</v>
      </c>
      <c r="P22" s="245"/>
      <c r="Q22" s="291">
        <v>0</v>
      </c>
      <c r="R22" s="292">
        <v>4</v>
      </c>
      <c r="S22" s="237">
        <f>13180*2+11980+7490</f>
        <v>45830</v>
      </c>
      <c r="T22" s="87">
        <f t="shared" si="14"/>
        <v>4</v>
      </c>
      <c r="U22" s="88">
        <f t="shared" si="15"/>
        <v>45830</v>
      </c>
      <c r="V22" s="89"/>
      <c r="W22" s="60">
        <v>0</v>
      </c>
      <c r="X22" s="90"/>
      <c r="Y22" s="91"/>
      <c r="Z22" s="92">
        <f t="shared" si="16"/>
        <v>0</v>
      </c>
      <c r="AA22" s="93">
        <f t="shared" si="17"/>
        <v>0</v>
      </c>
      <c r="AB22" s="152">
        <f t="shared" si="4"/>
        <v>13</v>
      </c>
      <c r="AC22" s="220">
        <f t="shared" si="5"/>
        <v>178020</v>
      </c>
      <c r="AD22" s="70"/>
      <c r="AE22" s="94"/>
      <c r="AG22" s="219">
        <f t="shared" si="6"/>
        <v>0</v>
      </c>
      <c r="AI22" s="154">
        <f t="shared" si="7"/>
        <v>178020</v>
      </c>
      <c r="AK22" s="144">
        <f t="shared" si="8"/>
        <v>13</v>
      </c>
      <c r="AM22" s="144">
        <f t="shared" si="9"/>
        <v>0</v>
      </c>
    </row>
    <row r="23" spans="2:41" ht="15.75" thickBot="1" x14ac:dyDescent="0.3">
      <c r="D23" s="95">
        <f t="shared" ref="D23:I23" si="18">SUM(D8:D22)</f>
        <v>0</v>
      </c>
      <c r="E23" s="96">
        <f t="shared" si="18"/>
        <v>0</v>
      </c>
      <c r="F23" s="95">
        <f t="shared" si="18"/>
        <v>8</v>
      </c>
      <c r="G23" s="97">
        <f t="shared" si="18"/>
        <v>79990</v>
      </c>
      <c r="H23" s="98">
        <f t="shared" si="18"/>
        <v>8</v>
      </c>
      <c r="I23" s="99">
        <f t="shared" si="18"/>
        <v>79990</v>
      </c>
      <c r="J23" s="214">
        <f t="shared" ref="J23:O23" si="19">SUM(J8:J22)</f>
        <v>0</v>
      </c>
      <c r="K23" s="226">
        <f t="shared" si="19"/>
        <v>0</v>
      </c>
      <c r="L23" s="214">
        <f t="shared" si="19"/>
        <v>34</v>
      </c>
      <c r="M23" s="216">
        <f t="shared" si="19"/>
        <v>278336</v>
      </c>
      <c r="N23" s="217">
        <f t="shared" si="19"/>
        <v>34</v>
      </c>
      <c r="O23" s="99">
        <f t="shared" si="19"/>
        <v>278336</v>
      </c>
      <c r="P23" s="244">
        <f t="shared" ref="P23:AA23" si="20">SUM(P8:P22)</f>
        <v>0</v>
      </c>
      <c r="Q23" s="101">
        <f t="shared" si="20"/>
        <v>0</v>
      </c>
      <c r="R23" s="244">
        <f t="shared" si="20"/>
        <v>37</v>
      </c>
      <c r="S23" s="289">
        <f t="shared" si="20"/>
        <v>321160</v>
      </c>
      <c r="T23" s="103">
        <f t="shared" si="20"/>
        <v>37</v>
      </c>
      <c r="U23" s="104">
        <f t="shared" si="20"/>
        <v>321160</v>
      </c>
      <c r="V23" s="105">
        <f t="shared" si="20"/>
        <v>0</v>
      </c>
      <c r="W23" s="106">
        <f t="shared" si="20"/>
        <v>0</v>
      </c>
      <c r="X23" s="105">
        <f t="shared" si="20"/>
        <v>0</v>
      </c>
      <c r="Y23" s="107">
        <f t="shared" si="20"/>
        <v>0</v>
      </c>
      <c r="Z23" s="108">
        <f t="shared" si="20"/>
        <v>0</v>
      </c>
      <c r="AA23" s="104">
        <f t="shared" si="20"/>
        <v>0</v>
      </c>
      <c r="AB23" s="109" t="s">
        <v>9</v>
      </c>
      <c r="AC23" s="43">
        <f>SUM(AC8:AC22)</f>
        <v>679486</v>
      </c>
      <c r="AD23" s="70"/>
      <c r="AE23" s="110">
        <f>SUM(AE8:AE22)</f>
        <v>40544</v>
      </c>
      <c r="AI23" s="110"/>
      <c r="AK23" s="1">
        <f>SUM(AK8:AK22)</f>
        <v>79</v>
      </c>
      <c r="AM23" s="1">
        <f>SUM(AM8:AM22)</f>
        <v>0</v>
      </c>
      <c r="AO23" s="1">
        <f>+AK23+AM23</f>
        <v>79</v>
      </c>
    </row>
    <row r="24" spans="2:41" x14ac:dyDescent="0.25">
      <c r="G24" s="111"/>
      <c r="H24" s="111"/>
      <c r="I24" s="111"/>
      <c r="M24" s="111"/>
      <c r="N24" s="111"/>
      <c r="O24" s="111"/>
      <c r="P24" s="111"/>
      <c r="Q24" s="111"/>
      <c r="R24" s="112">
        <f>X23+F23+R23+L23</f>
        <v>79</v>
      </c>
      <c r="S24" s="113">
        <f>G23+Y23+S23+M23</f>
        <v>679486</v>
      </c>
      <c r="T24" s="111"/>
      <c r="U24" s="111"/>
      <c r="V24" s="111"/>
      <c r="W24" s="111"/>
      <c r="X24" s="111"/>
      <c r="Y24" s="111"/>
      <c r="Z24" s="111"/>
      <c r="AA24" s="111"/>
      <c r="AB24" s="2"/>
      <c r="AC24" s="70">
        <f>AA23+U23+I23+O23</f>
        <v>679486</v>
      </c>
      <c r="AD24" s="2"/>
    </row>
    <row r="25" spans="2:41" x14ac:dyDescent="0.25">
      <c r="D25" s="114" t="s">
        <v>30</v>
      </c>
      <c r="E25" s="114"/>
      <c r="G25" s="114"/>
      <c r="H25" s="114"/>
      <c r="I25" s="114"/>
      <c r="J25" s="114" t="s">
        <v>30</v>
      </c>
      <c r="K25" s="114"/>
      <c r="M25" s="114"/>
      <c r="N25" s="114"/>
      <c r="O25" s="114"/>
      <c r="P25" s="114"/>
      <c r="Q25" s="114"/>
      <c r="R25" s="114"/>
      <c r="S25" s="114"/>
      <c r="T25" s="114"/>
      <c r="U25" s="114"/>
      <c r="AA25" s="2"/>
      <c r="AB25" s="2"/>
      <c r="AC25" s="2"/>
      <c r="AD25" s="2"/>
    </row>
    <row r="26" spans="2:41" x14ac:dyDescent="0.25">
      <c r="D26" s="114"/>
      <c r="E26" s="114"/>
      <c r="J26" s="114"/>
      <c r="K26" s="114"/>
      <c r="P26" s="1"/>
      <c r="Q26" s="1"/>
      <c r="R26" s="1"/>
      <c r="S26" s="1"/>
      <c r="T26" s="1"/>
      <c r="U26" s="1"/>
      <c r="AA26" s="2"/>
      <c r="AB26" s="2"/>
      <c r="AC26" s="2"/>
      <c r="AD26" s="2"/>
    </row>
    <row r="27" spans="2:41" x14ac:dyDescent="0.25">
      <c r="C27" s="115">
        <v>20000</v>
      </c>
      <c r="D27" s="115"/>
      <c r="E27" s="115"/>
      <c r="F27" s="116"/>
      <c r="G27" s="117"/>
      <c r="H27" s="118"/>
      <c r="I27" s="119">
        <v>80000</v>
      </c>
      <c r="J27" s="115"/>
      <c r="K27" s="115"/>
      <c r="L27" s="116"/>
      <c r="M27" s="117"/>
      <c r="N27" s="118"/>
      <c r="O27" s="119">
        <v>100000</v>
      </c>
      <c r="P27" s="119"/>
      <c r="Q27" s="119"/>
      <c r="R27" s="119"/>
      <c r="S27" s="119"/>
      <c r="T27" s="119"/>
      <c r="U27" s="119">
        <v>40000</v>
      </c>
      <c r="V27" s="119"/>
      <c r="W27" s="119"/>
      <c r="X27" s="120"/>
      <c r="Y27" s="121"/>
      <c r="Z27" s="120"/>
      <c r="AA27" s="119"/>
      <c r="AB27" s="122"/>
      <c r="AC27" s="122"/>
      <c r="AD27" s="2"/>
      <c r="AE27" s="2"/>
      <c r="AF27" s="2"/>
    </row>
    <row r="28" spans="2:41" x14ac:dyDescent="0.25">
      <c r="C28" s="115">
        <v>10000</v>
      </c>
      <c r="D28" s="115"/>
      <c r="E28" s="115"/>
      <c r="F28" s="116"/>
      <c r="G28" s="117"/>
      <c r="H28" s="118"/>
      <c r="I28" s="119">
        <v>0</v>
      </c>
      <c r="J28" s="115"/>
      <c r="K28" s="115"/>
      <c r="L28" s="116"/>
      <c r="M28" s="117"/>
      <c r="N28" s="118"/>
      <c r="O28" s="119">
        <v>160000</v>
      </c>
      <c r="P28" s="119"/>
      <c r="Q28" s="119"/>
      <c r="R28" s="119"/>
      <c r="S28" s="119"/>
      <c r="T28" s="119"/>
      <c r="U28" s="119">
        <v>110000</v>
      </c>
      <c r="V28" s="119"/>
      <c r="W28" s="119"/>
      <c r="X28" s="120"/>
      <c r="Y28" s="122"/>
      <c r="Z28" s="120"/>
      <c r="AA28" s="119"/>
      <c r="AB28" s="122"/>
      <c r="AC28" s="122"/>
      <c r="AD28" s="2"/>
      <c r="AE28" s="2"/>
      <c r="AF28" s="2"/>
    </row>
    <row r="29" spans="2:41" x14ac:dyDescent="0.25">
      <c r="C29" s="115">
        <v>5000</v>
      </c>
      <c r="D29" s="115"/>
      <c r="E29" s="115"/>
      <c r="F29" s="116"/>
      <c r="G29" s="117"/>
      <c r="H29" s="118"/>
      <c r="I29" s="119">
        <v>0</v>
      </c>
      <c r="J29" s="115"/>
      <c r="K29" s="115"/>
      <c r="L29" s="116"/>
      <c r="M29" s="117"/>
      <c r="N29" s="118"/>
      <c r="O29" s="119">
        <v>15000</v>
      </c>
      <c r="P29" s="119"/>
      <c r="Q29" s="119"/>
      <c r="R29" s="119"/>
      <c r="S29" s="119"/>
      <c r="T29" s="119"/>
      <c r="U29" s="119">
        <v>15000</v>
      </c>
      <c r="V29" s="119"/>
      <c r="W29" s="119"/>
      <c r="X29" s="120"/>
      <c r="Y29" s="121"/>
      <c r="Z29" s="120"/>
      <c r="AA29" s="119"/>
      <c r="AB29" s="122"/>
      <c r="AC29" s="122"/>
      <c r="AD29" s="2"/>
      <c r="AE29" s="2"/>
      <c r="AF29" s="2"/>
    </row>
    <row r="30" spans="2:41" x14ac:dyDescent="0.25">
      <c r="C30" s="115">
        <v>2000</v>
      </c>
      <c r="D30" s="115"/>
      <c r="E30" s="115"/>
      <c r="F30" s="116"/>
      <c r="G30" s="117"/>
      <c r="H30" s="118"/>
      <c r="I30" s="119">
        <v>0</v>
      </c>
      <c r="J30" s="115"/>
      <c r="K30" s="115"/>
      <c r="L30" s="116"/>
      <c r="M30" s="117"/>
      <c r="N30" s="118"/>
      <c r="O30" s="119">
        <v>0</v>
      </c>
      <c r="P30" s="119"/>
      <c r="Q30" s="119"/>
      <c r="R30" s="119"/>
      <c r="S30" s="119"/>
      <c r="T30" s="119"/>
      <c r="U30" s="119">
        <v>0</v>
      </c>
      <c r="V30" s="119"/>
      <c r="W30" s="119"/>
      <c r="X30" s="120"/>
      <c r="Y30" s="121"/>
      <c r="Z30" s="120"/>
      <c r="AA30" s="119"/>
      <c r="AB30" s="122"/>
      <c r="AC30" s="122"/>
      <c r="AD30" s="123"/>
    </row>
    <row r="31" spans="2:41" x14ac:dyDescent="0.25">
      <c r="C31" s="115">
        <v>1000</v>
      </c>
      <c r="D31" s="115"/>
      <c r="E31" s="115"/>
      <c r="F31" s="116"/>
      <c r="G31" s="117"/>
      <c r="H31" s="118"/>
      <c r="I31" s="124">
        <v>0</v>
      </c>
      <c r="J31" s="115"/>
      <c r="K31" s="115"/>
      <c r="L31" s="116"/>
      <c r="M31" s="117"/>
      <c r="N31" s="118"/>
      <c r="O31" s="124">
        <v>3000</v>
      </c>
      <c r="P31" s="124"/>
      <c r="Q31" s="124"/>
      <c r="R31" s="124"/>
      <c r="S31" s="124"/>
      <c r="T31" s="124"/>
      <c r="U31" s="124">
        <v>4000</v>
      </c>
      <c r="V31" s="124"/>
      <c r="W31" s="124"/>
      <c r="X31" s="120"/>
      <c r="Y31" s="121"/>
      <c r="Z31" s="120"/>
      <c r="AA31" s="124"/>
      <c r="AB31" s="122"/>
      <c r="AC31" s="122"/>
      <c r="AD31" s="2"/>
    </row>
    <row r="32" spans="2:41" x14ac:dyDescent="0.25">
      <c r="C32" s="115">
        <v>500</v>
      </c>
      <c r="D32" s="115"/>
      <c r="E32" s="115"/>
      <c r="F32" s="116"/>
      <c r="G32" s="117"/>
      <c r="H32" s="118"/>
      <c r="I32" s="119">
        <v>0</v>
      </c>
      <c r="J32" s="115"/>
      <c r="K32" s="115"/>
      <c r="L32" s="116"/>
      <c r="M32" s="117"/>
      <c r="N32" s="118"/>
      <c r="O32" s="119">
        <v>0</v>
      </c>
      <c r="P32" s="119"/>
      <c r="Q32" s="119"/>
      <c r="R32" s="119"/>
      <c r="S32" s="124" t="s">
        <v>25</v>
      </c>
      <c r="T32" s="119"/>
      <c r="U32" s="119">
        <v>0</v>
      </c>
      <c r="V32" s="119"/>
      <c r="W32" s="119"/>
      <c r="X32" s="120"/>
      <c r="Y32" s="121"/>
      <c r="Z32" s="120"/>
      <c r="AA32" s="119"/>
      <c r="AB32" s="121"/>
      <c r="AC32" s="121"/>
      <c r="AD32" s="2"/>
    </row>
    <row r="33" spans="2:33" x14ac:dyDescent="0.25">
      <c r="C33" s="115">
        <v>100</v>
      </c>
      <c r="D33" s="115"/>
      <c r="E33" s="115"/>
      <c r="F33" s="116"/>
      <c r="G33" s="117"/>
      <c r="H33" s="118"/>
      <c r="I33" s="119">
        <v>0</v>
      </c>
      <c r="J33" s="115"/>
      <c r="K33" s="115"/>
      <c r="L33" s="116"/>
      <c r="M33" s="117"/>
      <c r="N33" s="118"/>
      <c r="O33" s="119">
        <v>300</v>
      </c>
      <c r="P33" s="119"/>
      <c r="Q33" s="119"/>
      <c r="R33" s="119"/>
      <c r="S33" s="119"/>
      <c r="T33" s="119"/>
      <c r="U33" s="119">
        <v>400</v>
      </c>
      <c r="V33" s="119"/>
      <c r="W33" s="119"/>
      <c r="X33" s="120"/>
      <c r="Y33" s="121"/>
      <c r="Z33" s="120"/>
      <c r="AA33" s="119"/>
      <c r="AB33" s="121"/>
      <c r="AC33" s="121"/>
      <c r="AD33" s="2"/>
    </row>
    <row r="34" spans="2:33" x14ac:dyDescent="0.25">
      <c r="C34" s="115">
        <v>50</v>
      </c>
      <c r="D34" s="115"/>
      <c r="E34" s="115"/>
      <c r="F34" s="116"/>
      <c r="G34" s="117"/>
      <c r="H34" s="118"/>
      <c r="I34" s="119">
        <v>0</v>
      </c>
      <c r="J34" s="115"/>
      <c r="K34" s="115"/>
      <c r="L34" s="116"/>
      <c r="M34" s="117"/>
      <c r="N34" s="118"/>
      <c r="O34" s="119">
        <v>0</v>
      </c>
      <c r="P34" s="119"/>
      <c r="Q34" s="119"/>
      <c r="R34" s="119"/>
      <c r="S34" s="119"/>
      <c r="T34" s="119"/>
      <c r="U34" s="119">
        <v>50</v>
      </c>
      <c r="V34" s="119"/>
      <c r="W34" s="119"/>
      <c r="X34" s="120"/>
      <c r="Y34" s="121"/>
      <c r="Z34" s="120"/>
      <c r="AA34" s="119"/>
      <c r="AB34" s="121"/>
      <c r="AC34" s="121"/>
      <c r="AD34" s="2"/>
    </row>
    <row r="35" spans="2:33" x14ac:dyDescent="0.25">
      <c r="C35" s="115">
        <v>10</v>
      </c>
      <c r="D35" s="115"/>
      <c r="E35" s="115"/>
      <c r="F35" s="116"/>
      <c r="G35" s="117"/>
      <c r="H35" s="118"/>
      <c r="I35" s="119">
        <v>0</v>
      </c>
      <c r="J35" s="115"/>
      <c r="K35" s="115"/>
      <c r="L35" s="116"/>
      <c r="M35" s="117"/>
      <c r="N35" s="118"/>
      <c r="O35" s="119">
        <v>40</v>
      </c>
      <c r="P35" s="119"/>
      <c r="Q35" s="119"/>
      <c r="R35" s="119"/>
      <c r="S35" s="119"/>
      <c r="T35" s="119"/>
      <c r="U35" s="119">
        <v>30</v>
      </c>
      <c r="V35" s="119"/>
      <c r="W35" s="119"/>
      <c r="X35" s="120"/>
      <c r="Y35" s="121"/>
      <c r="Z35" s="120"/>
      <c r="AA35" s="119"/>
      <c r="AB35" s="121"/>
      <c r="AC35" s="121"/>
      <c r="AD35" s="2"/>
      <c r="AG35" s="1" t="s">
        <v>25</v>
      </c>
    </row>
    <row r="36" spans="2:33" x14ac:dyDescent="0.25">
      <c r="C36" s="1" t="s">
        <v>32</v>
      </c>
      <c r="E36" s="131"/>
      <c r="G36" s="125"/>
      <c r="H36" s="118"/>
      <c r="I36" s="124">
        <v>-10</v>
      </c>
      <c r="K36" s="131"/>
      <c r="M36" s="125"/>
      <c r="N36" s="118"/>
      <c r="O36" s="124">
        <v>-4</v>
      </c>
      <c r="P36" s="124"/>
      <c r="Q36" s="124"/>
      <c r="R36" s="124"/>
      <c r="S36" s="124"/>
      <c r="T36" s="124"/>
      <c r="U36" s="124">
        <f>50560+101120</f>
        <v>151680</v>
      </c>
      <c r="V36" s="124"/>
      <c r="W36" s="124"/>
      <c r="X36" s="120"/>
      <c r="Y36" s="124"/>
      <c r="Z36" s="120"/>
      <c r="AA36" s="124"/>
      <c r="AB36" s="124"/>
      <c r="AC36" s="124"/>
      <c r="AD36" s="2"/>
    </row>
    <row r="37" spans="2:33" s="114" customFormat="1" ht="15.75" x14ac:dyDescent="0.25">
      <c r="F37" s="126"/>
      <c r="G37" s="127"/>
      <c r="I37" s="128">
        <f>SUM(I27:I36)</f>
        <v>79990</v>
      </c>
      <c r="L37" s="126"/>
      <c r="M37" s="127"/>
      <c r="O37" s="128">
        <f>SUM(O27:O36)</f>
        <v>278336</v>
      </c>
      <c r="P37" s="116"/>
      <c r="Q37" s="116"/>
      <c r="R37" s="116"/>
      <c r="S37" s="116"/>
      <c r="T37" s="116"/>
      <c r="U37" s="128">
        <f>SUM(U27:U36)</f>
        <v>321160</v>
      </c>
      <c r="V37" s="116"/>
      <c r="W37" s="116"/>
      <c r="X37" s="123"/>
      <c r="Y37" s="116"/>
      <c r="Z37" s="123"/>
      <c r="AA37" s="128">
        <f>SUM(AA27:AA36)</f>
        <v>0</v>
      </c>
      <c r="AB37" s="129"/>
      <c r="AC37" s="125">
        <f>+I37+U37+AA37+O37</f>
        <v>679486</v>
      </c>
    </row>
    <row r="38" spans="2:33" x14ac:dyDescent="0.25">
      <c r="B38" s="2"/>
      <c r="C38" s="2"/>
      <c r="D38" s="2"/>
      <c r="E38" s="70"/>
      <c r="F38" s="2"/>
      <c r="G38" s="2"/>
      <c r="H38" s="2"/>
      <c r="I38" s="2"/>
      <c r="J38" s="2"/>
      <c r="K38" s="70"/>
      <c r="L38" s="2"/>
      <c r="M38" s="2"/>
      <c r="N38" s="2"/>
      <c r="O38" s="2"/>
      <c r="X38" s="70"/>
      <c r="AA38" s="2"/>
      <c r="AB38" s="130"/>
      <c r="AC38" s="131">
        <f>AC37-AC24</f>
        <v>0</v>
      </c>
    </row>
    <row r="39" spans="2:33" x14ac:dyDescent="0.25">
      <c r="B39" s="2"/>
      <c r="C39" s="2"/>
      <c r="D39" s="2"/>
      <c r="E39" s="70"/>
      <c r="F39" s="2"/>
      <c r="G39" s="2"/>
      <c r="H39" s="2"/>
      <c r="I39" s="129"/>
      <c r="J39" s="2"/>
      <c r="K39" s="70"/>
      <c r="L39" s="2"/>
      <c r="M39" s="2"/>
      <c r="N39" s="2"/>
      <c r="O39" s="129"/>
      <c r="P39" s="2" t="s">
        <v>38</v>
      </c>
      <c r="U39" s="129"/>
      <c r="X39" s="70"/>
      <c r="AA39" s="129"/>
      <c r="AB39" s="130"/>
      <c r="AC39" s="131"/>
    </row>
    <row r="40" spans="2:33" x14ac:dyDescent="0.25">
      <c r="E40" s="110"/>
      <c r="Q40" s="133"/>
      <c r="Y40" s="1"/>
      <c r="Z40" s="1"/>
    </row>
    <row r="41" spans="2:33" x14ac:dyDescent="0.25">
      <c r="S41" s="129"/>
      <c r="T41" s="129"/>
      <c r="U41" s="129"/>
      <c r="W41" s="130"/>
    </row>
  </sheetData>
  <mergeCells count="11">
    <mergeCell ref="B6:B7"/>
    <mergeCell ref="C6:C7"/>
    <mergeCell ref="D6:I6"/>
    <mergeCell ref="J6:O6"/>
    <mergeCell ref="P6:U6"/>
    <mergeCell ref="AB6:AB7"/>
    <mergeCell ref="AC6:AC7"/>
    <mergeCell ref="AE6:AE7"/>
    <mergeCell ref="Q3:T3"/>
    <mergeCell ref="C4:D4"/>
    <mergeCell ref="V6:AA6"/>
  </mergeCells>
  <pageMargins left="0.39370078740157483" right="0.39370078740157483" top="0.19685039370078741" bottom="0.19685039370078741" header="0" footer="0"/>
  <pageSetup paperSize="9" orientation="landscape" horizontalDpi="0" verticalDpi="0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8">
    <pageSetUpPr fitToPage="1"/>
  </sheetPr>
  <dimension ref="A1:AO41"/>
  <sheetViews>
    <sheetView zoomScaleNormal="100" workbookViewId="0">
      <pane xSplit="3" topLeftCell="J1" activePane="topRight" state="frozen"/>
      <selection activeCell="C22" sqref="C21:C22"/>
      <selection pane="topRight" activeCell="AF39" sqref="B2:AF39"/>
    </sheetView>
  </sheetViews>
  <sheetFormatPr baseColWidth="10" defaultRowHeight="15" x14ac:dyDescent="0.25"/>
  <cols>
    <col min="1" max="1" width="1.7109375" style="1" customWidth="1"/>
    <col min="2" max="2" width="10" style="1" customWidth="1"/>
    <col min="3" max="3" width="29.140625" style="1" customWidth="1"/>
    <col min="4" max="4" width="5.7109375" style="1" hidden="1" customWidth="1"/>
    <col min="5" max="5" width="10.7109375" style="1" hidden="1" customWidth="1"/>
    <col min="6" max="6" width="5.7109375" style="1" hidden="1" customWidth="1"/>
    <col min="7" max="7" width="10.7109375" style="1" hidden="1" customWidth="1"/>
    <col min="8" max="8" width="5.7109375" style="1" hidden="1" customWidth="1"/>
    <col min="9" max="9" width="10.7109375" style="1" hidden="1" customWidth="1"/>
    <col min="10" max="10" width="5.7109375" style="1" customWidth="1"/>
    <col min="11" max="11" width="10.7109375" style="1" customWidth="1"/>
    <col min="12" max="12" width="5.7109375" style="1" customWidth="1"/>
    <col min="13" max="13" width="10.7109375" style="1" customWidth="1"/>
    <col min="14" max="14" width="5.7109375" style="1" customWidth="1"/>
    <col min="15" max="15" width="10.7109375" style="1" customWidth="1"/>
    <col min="16" max="16" width="5.7109375" style="2" customWidth="1"/>
    <col min="17" max="17" width="10.7109375" style="2" customWidth="1"/>
    <col min="18" max="18" width="5.7109375" style="2" customWidth="1"/>
    <col min="19" max="19" width="10.7109375" style="2" customWidth="1"/>
    <col min="20" max="20" width="5.7109375" style="2" customWidth="1"/>
    <col min="21" max="21" width="10.7109375" style="2" customWidth="1"/>
    <col min="22" max="22" width="5.7109375" style="2" customWidth="1"/>
    <col min="23" max="23" width="10.7109375" style="2" customWidth="1"/>
    <col min="24" max="24" width="5.7109375" style="2" customWidth="1"/>
    <col min="25" max="25" width="10.7109375" style="2" customWidth="1"/>
    <col min="26" max="26" width="5.7109375" style="2" customWidth="1"/>
    <col min="27" max="27" width="10.7109375" style="1" customWidth="1"/>
    <col min="28" max="28" width="9.5703125" style="1" customWidth="1"/>
    <col min="29" max="29" width="14.5703125" style="1" bestFit="1" customWidth="1"/>
    <col min="30" max="30" width="3.28515625" style="1" customWidth="1"/>
    <col min="31" max="31" width="11.42578125" style="1"/>
    <col min="32" max="32" width="3.7109375" style="1" customWidth="1"/>
    <col min="33" max="33" width="10.140625" style="1" customWidth="1"/>
    <col min="34" max="34" width="3.7109375" style="1" customWidth="1"/>
    <col min="35" max="35" width="11.42578125" style="1"/>
    <col min="36" max="36" width="3.7109375" style="1" customWidth="1"/>
    <col min="37" max="37" width="5.7109375" style="1" customWidth="1"/>
    <col min="38" max="38" width="3.7109375" style="1" customWidth="1"/>
    <col min="39" max="39" width="5.7109375" style="1" customWidth="1"/>
    <col min="40" max="40" width="3.7109375" style="1" customWidth="1"/>
    <col min="41" max="41" width="5.7109375" style="1" customWidth="1"/>
    <col min="42" max="16384" width="11.42578125" style="1"/>
  </cols>
  <sheetData>
    <row r="1" spans="1:39" ht="5.25" customHeight="1" x14ac:dyDescent="0.25">
      <c r="Y1" s="1"/>
      <c r="Z1" s="1"/>
    </row>
    <row r="2" spans="1:39" ht="21" x14ac:dyDescent="0.35">
      <c r="B2" s="3" t="s">
        <v>0</v>
      </c>
      <c r="P2" s="1"/>
      <c r="Q2" s="4"/>
      <c r="Z2" s="1"/>
    </row>
    <row r="3" spans="1:39" ht="15" customHeight="1" x14ac:dyDescent="0.25">
      <c r="A3" s="5"/>
      <c r="B3" s="6" t="s">
        <v>1</v>
      </c>
      <c r="C3" s="7"/>
      <c r="D3" s="7"/>
      <c r="E3" s="7"/>
      <c r="F3" s="7"/>
      <c r="P3" s="1"/>
      <c r="Q3" s="353"/>
      <c r="R3" s="353"/>
      <c r="S3" s="353"/>
      <c r="T3" s="353"/>
      <c r="U3" s="252"/>
      <c r="V3" s="252"/>
      <c r="Z3" s="1"/>
    </row>
    <row r="4" spans="1:39" ht="18" customHeight="1" x14ac:dyDescent="0.25">
      <c r="B4" s="253" t="s">
        <v>2</v>
      </c>
      <c r="C4" s="354" t="s">
        <v>65</v>
      </c>
      <c r="D4" s="355"/>
      <c r="E4" s="253"/>
      <c r="F4" s="253"/>
      <c r="P4" s="1"/>
      <c r="Q4" s="9"/>
      <c r="R4" s="10"/>
      <c r="S4" s="9"/>
      <c r="T4" s="9"/>
      <c r="U4" s="9"/>
      <c r="V4" s="9"/>
      <c r="Z4" s="1"/>
    </row>
    <row r="5" spans="1:39" ht="15.75" thickBot="1" x14ac:dyDescent="0.3">
      <c r="A5" s="253"/>
      <c r="B5" s="253"/>
      <c r="C5" s="253"/>
      <c r="D5" s="253"/>
      <c r="E5" s="253"/>
      <c r="J5" s="253"/>
      <c r="K5" s="253"/>
      <c r="P5" s="1"/>
      <c r="Q5" s="1"/>
      <c r="R5" s="1"/>
      <c r="S5" s="1"/>
      <c r="T5" s="1"/>
      <c r="U5" s="1"/>
      <c r="V5" s="9"/>
      <c r="W5" s="9"/>
      <c r="X5" s="9"/>
      <c r="Y5" s="9"/>
      <c r="Z5" s="9"/>
      <c r="AA5" s="9"/>
      <c r="AB5" s="2"/>
      <c r="AC5" s="2"/>
      <c r="AD5" s="2"/>
    </row>
    <row r="6" spans="1:39" ht="27.75" customHeight="1" thickBot="1" x14ac:dyDescent="0.3">
      <c r="B6" s="356" t="s">
        <v>3</v>
      </c>
      <c r="C6" s="343" t="s">
        <v>4</v>
      </c>
      <c r="D6" s="358" t="s">
        <v>42</v>
      </c>
      <c r="E6" s="359"/>
      <c r="F6" s="360"/>
      <c r="G6" s="360"/>
      <c r="H6" s="360"/>
      <c r="I6" s="361"/>
      <c r="J6" s="370" t="s">
        <v>43</v>
      </c>
      <c r="K6" s="371"/>
      <c r="L6" s="372"/>
      <c r="M6" s="372"/>
      <c r="N6" s="372"/>
      <c r="O6" s="373"/>
      <c r="P6" s="362" t="s">
        <v>54</v>
      </c>
      <c r="Q6" s="363"/>
      <c r="R6" s="364"/>
      <c r="S6" s="364"/>
      <c r="T6" s="364"/>
      <c r="U6" s="365"/>
      <c r="V6" s="366" t="s">
        <v>31</v>
      </c>
      <c r="W6" s="367"/>
      <c r="X6" s="368"/>
      <c r="Y6" s="368"/>
      <c r="Z6" s="368"/>
      <c r="AA6" s="369"/>
      <c r="AB6" s="349" t="s">
        <v>5</v>
      </c>
      <c r="AC6" s="349" t="s">
        <v>6</v>
      </c>
      <c r="AD6" s="2"/>
      <c r="AE6" s="351" t="s">
        <v>7</v>
      </c>
      <c r="AF6" s="2"/>
    </row>
    <row r="7" spans="1:39" ht="25.5" customHeight="1" thickBot="1" x14ac:dyDescent="0.3">
      <c r="B7" s="357"/>
      <c r="C7" s="344"/>
      <c r="D7" s="11" t="s">
        <v>8</v>
      </c>
      <c r="E7" s="12" t="s">
        <v>9</v>
      </c>
      <c r="F7" s="13" t="s">
        <v>8</v>
      </c>
      <c r="G7" s="14" t="s">
        <v>9</v>
      </c>
      <c r="H7" s="11" t="s">
        <v>5</v>
      </c>
      <c r="I7" s="14" t="s">
        <v>10</v>
      </c>
      <c r="J7" s="190" t="s">
        <v>8</v>
      </c>
      <c r="K7" s="192" t="s">
        <v>9</v>
      </c>
      <c r="L7" s="191" t="s">
        <v>8</v>
      </c>
      <c r="M7" s="192" t="s">
        <v>9</v>
      </c>
      <c r="N7" s="190" t="s">
        <v>5</v>
      </c>
      <c r="O7" s="192" t="s">
        <v>10</v>
      </c>
      <c r="P7" s="15" t="s">
        <v>8</v>
      </c>
      <c r="Q7" s="16" t="s">
        <v>9</v>
      </c>
      <c r="R7" s="17" t="s">
        <v>8</v>
      </c>
      <c r="S7" s="16" t="s">
        <v>9</v>
      </c>
      <c r="T7" s="15" t="s">
        <v>5</v>
      </c>
      <c r="U7" s="16" t="s">
        <v>10</v>
      </c>
      <c r="V7" s="18" t="s">
        <v>8</v>
      </c>
      <c r="W7" s="19" t="s">
        <v>9</v>
      </c>
      <c r="X7" s="20" t="s">
        <v>8</v>
      </c>
      <c r="Y7" s="21" t="s">
        <v>9</v>
      </c>
      <c r="Z7" s="18" t="s">
        <v>5</v>
      </c>
      <c r="AA7" s="21" t="s">
        <v>10</v>
      </c>
      <c r="AB7" s="350"/>
      <c r="AC7" s="350"/>
      <c r="AD7" s="2"/>
      <c r="AE7" s="352"/>
      <c r="AG7" s="22" t="s">
        <v>11</v>
      </c>
      <c r="AI7" s="22" t="s">
        <v>12</v>
      </c>
    </row>
    <row r="8" spans="1:39" x14ac:dyDescent="0.25">
      <c r="B8" s="173">
        <v>6320</v>
      </c>
      <c r="C8" s="157" t="s">
        <v>13</v>
      </c>
      <c r="D8" s="24"/>
      <c r="E8" s="25">
        <f>+D8*B8</f>
        <v>0</v>
      </c>
      <c r="F8" s="26"/>
      <c r="G8" s="27"/>
      <c r="H8" s="28">
        <f>D8+F8</f>
        <v>0</v>
      </c>
      <c r="I8" s="29">
        <f>E8+G8</f>
        <v>0</v>
      </c>
      <c r="J8" s="199"/>
      <c r="K8" s="249">
        <f>+J8*B8</f>
        <v>0</v>
      </c>
      <c r="L8" s="222">
        <v>5</v>
      </c>
      <c r="M8" s="202">
        <f>6320*5</f>
        <v>31600</v>
      </c>
      <c r="N8" s="193">
        <f>J8+L8</f>
        <v>5</v>
      </c>
      <c r="O8" s="194">
        <f>K8+M8</f>
        <v>31600</v>
      </c>
      <c r="P8" s="30"/>
      <c r="Q8" s="290">
        <f>+P8*B8</f>
        <v>0</v>
      </c>
      <c r="R8" s="32"/>
      <c r="S8" s="33"/>
      <c r="T8" s="34">
        <f>P8+R8</f>
        <v>0</v>
      </c>
      <c r="U8" s="35">
        <f>Q8+S8</f>
        <v>0</v>
      </c>
      <c r="V8" s="36"/>
      <c r="W8" s="37">
        <f t="shared" ref="W8:W19" si="0">+V8*B8</f>
        <v>0</v>
      </c>
      <c r="X8" s="38">
        <v>13</v>
      </c>
      <c r="Y8" s="39">
        <f>13*6320</f>
        <v>82160</v>
      </c>
      <c r="Z8" s="40">
        <f>V8+X8</f>
        <v>13</v>
      </c>
      <c r="AA8" s="41">
        <f>Y8+W8</f>
        <v>82160</v>
      </c>
      <c r="AB8" s="152">
        <f t="shared" ref="AB8:AB22" si="1">+D8+F8+P8+R8+V8+X8</f>
        <v>13</v>
      </c>
      <c r="AC8" s="220">
        <f>+E8+G8+Q8+S8+W8+Y8+K8+M8</f>
        <v>113760</v>
      </c>
      <c r="AD8" s="44"/>
      <c r="AE8" s="45"/>
      <c r="AG8" s="187">
        <f>E8+W8+Q8+K8</f>
        <v>0</v>
      </c>
      <c r="AI8" s="156">
        <f>G8+Y8+S8+M8</f>
        <v>113760</v>
      </c>
      <c r="AK8" s="139">
        <f>F8+R8+X8+L8</f>
        <v>18</v>
      </c>
      <c r="AM8" s="139">
        <f>+D8+P8+V8+J8</f>
        <v>0</v>
      </c>
    </row>
    <row r="9" spans="1:39" x14ac:dyDescent="0.25">
      <c r="B9" s="174">
        <v>6320</v>
      </c>
      <c r="C9" s="180" t="s">
        <v>14</v>
      </c>
      <c r="D9" s="47"/>
      <c r="E9" s="48">
        <f t="shared" ref="E9:E19" si="2">+D9*B9</f>
        <v>0</v>
      </c>
      <c r="F9" s="49"/>
      <c r="G9" s="50"/>
      <c r="H9" s="51">
        <f>D9+F9</f>
        <v>0</v>
      </c>
      <c r="I9" s="52">
        <f>G9+E9</f>
        <v>0</v>
      </c>
      <c r="J9" s="203"/>
      <c r="K9" s="248">
        <f t="shared" ref="K9:K19" si="3">+J9*B9</f>
        <v>0</v>
      </c>
      <c r="L9" s="223"/>
      <c r="M9" s="206"/>
      <c r="N9" s="195">
        <f>J9+L9</f>
        <v>0</v>
      </c>
      <c r="O9" s="196">
        <f>M9+K9</f>
        <v>0</v>
      </c>
      <c r="P9" s="53"/>
      <c r="Q9" s="31">
        <f t="shared" ref="Q9:Q19" si="4">+P9*B9</f>
        <v>0</v>
      </c>
      <c r="R9" s="55">
        <v>3</v>
      </c>
      <c r="S9" s="56">
        <f>6320*3</f>
        <v>18960</v>
      </c>
      <c r="T9" s="57">
        <f>P9+R9</f>
        <v>3</v>
      </c>
      <c r="U9" s="58">
        <f>S9+Q9</f>
        <v>18960</v>
      </c>
      <c r="V9" s="59"/>
      <c r="W9" s="60">
        <f t="shared" si="0"/>
        <v>0</v>
      </c>
      <c r="X9" s="61">
        <v>6</v>
      </c>
      <c r="Y9" s="62">
        <f>6320*6</f>
        <v>37920</v>
      </c>
      <c r="Z9" s="63">
        <f>V9+X9</f>
        <v>6</v>
      </c>
      <c r="AA9" s="41">
        <f>Y9+W9</f>
        <v>37920</v>
      </c>
      <c r="AB9" s="338">
        <f t="shared" si="1"/>
        <v>9</v>
      </c>
      <c r="AC9" s="339">
        <f t="shared" ref="AC9:AC22" si="5">+E9+G9+Q9+S9+W9+Y9+K9+M9</f>
        <v>56880</v>
      </c>
      <c r="AD9" s="44"/>
      <c r="AE9" s="64"/>
      <c r="AG9" s="251">
        <f t="shared" ref="AG9:AG22" si="6">E9+W9+Q9+K9</f>
        <v>0</v>
      </c>
      <c r="AI9" s="151">
        <f t="shared" ref="AI9:AI22" si="7">G9+Y9+S9+M9</f>
        <v>56880</v>
      </c>
      <c r="AK9" s="142">
        <f t="shared" ref="AK9:AK22" si="8">F9+R9+X9+L9</f>
        <v>9</v>
      </c>
      <c r="AM9" s="142">
        <f t="shared" ref="AM9:AM22" si="9">+D9+P9+V9+J9</f>
        <v>0</v>
      </c>
    </row>
    <row r="10" spans="1:39" x14ac:dyDescent="0.25">
      <c r="B10" s="174">
        <v>6320</v>
      </c>
      <c r="C10" s="46" t="s">
        <v>16</v>
      </c>
      <c r="D10" s="47"/>
      <c r="E10" s="48">
        <f t="shared" si="2"/>
        <v>0</v>
      </c>
      <c r="F10" s="49"/>
      <c r="G10" s="50"/>
      <c r="H10" s="51">
        <f t="shared" ref="H10:H22" si="10">D10+F10</f>
        <v>0</v>
      </c>
      <c r="I10" s="52">
        <f t="shared" ref="I10:I22" si="11">G10+E10</f>
        <v>0</v>
      </c>
      <c r="J10" s="203"/>
      <c r="K10" s="248">
        <f t="shared" si="3"/>
        <v>0</v>
      </c>
      <c r="L10" s="223"/>
      <c r="M10" s="206"/>
      <c r="N10" s="195">
        <f t="shared" ref="N10:N22" si="12">J10+L10</f>
        <v>0</v>
      </c>
      <c r="O10" s="196">
        <f t="shared" ref="O10:O22" si="13">M10+K10</f>
        <v>0</v>
      </c>
      <c r="P10" s="53"/>
      <c r="Q10" s="31">
        <f t="shared" si="4"/>
        <v>0</v>
      </c>
      <c r="R10" s="55"/>
      <c r="S10" s="56"/>
      <c r="T10" s="57">
        <f t="shared" ref="T10:T22" si="14">P10+R10</f>
        <v>0</v>
      </c>
      <c r="U10" s="58">
        <f t="shared" ref="U10:U22" si="15">S10+Q10</f>
        <v>0</v>
      </c>
      <c r="V10" s="59"/>
      <c r="W10" s="60">
        <f t="shared" si="0"/>
        <v>0</v>
      </c>
      <c r="X10" s="61"/>
      <c r="Y10" s="62"/>
      <c r="Z10" s="63">
        <f t="shared" ref="Z10:Z22" si="16">V10+X10</f>
        <v>0</v>
      </c>
      <c r="AA10" s="41">
        <f t="shared" ref="AA10:AA22" si="17">Y10+W10</f>
        <v>0</v>
      </c>
      <c r="AB10" s="42">
        <f t="shared" si="1"/>
        <v>0</v>
      </c>
      <c r="AC10" s="188">
        <f t="shared" si="5"/>
        <v>0</v>
      </c>
      <c r="AD10" s="44"/>
      <c r="AE10" s="64"/>
      <c r="AG10" s="218">
        <f t="shared" si="6"/>
        <v>0</v>
      </c>
      <c r="AI10" s="64">
        <f t="shared" si="7"/>
        <v>0</v>
      </c>
      <c r="AK10" s="142">
        <f t="shared" si="8"/>
        <v>0</v>
      </c>
      <c r="AM10" s="142">
        <f t="shared" si="9"/>
        <v>0</v>
      </c>
    </row>
    <row r="11" spans="1:39" x14ac:dyDescent="0.25">
      <c r="B11" s="174">
        <v>6320</v>
      </c>
      <c r="C11" s="153" t="s">
        <v>17</v>
      </c>
      <c r="D11" s="65"/>
      <c r="E11" s="48">
        <f t="shared" si="2"/>
        <v>0</v>
      </c>
      <c r="F11" s="49"/>
      <c r="G11" s="50"/>
      <c r="H11" s="51">
        <f t="shared" si="10"/>
        <v>0</v>
      </c>
      <c r="I11" s="52">
        <f t="shared" si="11"/>
        <v>0</v>
      </c>
      <c r="J11" s="207"/>
      <c r="K11" s="248">
        <f t="shared" si="3"/>
        <v>0</v>
      </c>
      <c r="L11" s="223">
        <v>1</v>
      </c>
      <c r="M11" s="206">
        <v>1264</v>
      </c>
      <c r="N11" s="195">
        <f t="shared" si="12"/>
        <v>1</v>
      </c>
      <c r="O11" s="196">
        <f t="shared" si="13"/>
        <v>1264</v>
      </c>
      <c r="P11" s="66"/>
      <c r="Q11" s="31">
        <f t="shared" si="4"/>
        <v>0</v>
      </c>
      <c r="R11" s="67">
        <v>5</v>
      </c>
      <c r="S11" s="56">
        <f>3715+6320*4</f>
        <v>28995</v>
      </c>
      <c r="T11" s="57">
        <f t="shared" si="14"/>
        <v>5</v>
      </c>
      <c r="U11" s="58">
        <f t="shared" si="15"/>
        <v>28995</v>
      </c>
      <c r="V11" s="68"/>
      <c r="W11" s="60">
        <f t="shared" si="0"/>
        <v>0</v>
      </c>
      <c r="X11" s="69">
        <v>6</v>
      </c>
      <c r="Y11" s="62">
        <f>6320*6</f>
        <v>37920</v>
      </c>
      <c r="Z11" s="63">
        <f t="shared" si="16"/>
        <v>6</v>
      </c>
      <c r="AA11" s="41">
        <f t="shared" si="17"/>
        <v>37920</v>
      </c>
      <c r="AB11" s="152">
        <f t="shared" si="1"/>
        <v>11</v>
      </c>
      <c r="AC11" s="220">
        <f t="shared" si="5"/>
        <v>68179</v>
      </c>
      <c r="AD11" s="70"/>
      <c r="AE11" s="151">
        <f>5056+2605</f>
        <v>7661</v>
      </c>
      <c r="AG11" s="218">
        <f t="shared" si="6"/>
        <v>0</v>
      </c>
      <c r="AI11" s="151">
        <f t="shared" si="7"/>
        <v>68179</v>
      </c>
      <c r="AK11" s="142">
        <f t="shared" si="8"/>
        <v>12</v>
      </c>
      <c r="AM11" s="142">
        <f t="shared" si="9"/>
        <v>0</v>
      </c>
    </row>
    <row r="12" spans="1:39" x14ac:dyDescent="0.25">
      <c r="B12" s="174">
        <v>6320</v>
      </c>
      <c r="C12" s="153" t="s">
        <v>18</v>
      </c>
      <c r="D12" s="65"/>
      <c r="E12" s="48">
        <f t="shared" si="2"/>
        <v>0</v>
      </c>
      <c r="F12" s="49"/>
      <c r="G12" s="50"/>
      <c r="H12" s="51">
        <f t="shared" si="10"/>
        <v>0</v>
      </c>
      <c r="I12" s="52">
        <f t="shared" si="11"/>
        <v>0</v>
      </c>
      <c r="J12" s="207"/>
      <c r="K12" s="248">
        <f t="shared" si="3"/>
        <v>0</v>
      </c>
      <c r="L12" s="223">
        <v>1</v>
      </c>
      <c r="M12" s="206">
        <v>6320</v>
      </c>
      <c r="N12" s="195">
        <f t="shared" si="12"/>
        <v>1</v>
      </c>
      <c r="O12" s="196">
        <f t="shared" si="13"/>
        <v>6320</v>
      </c>
      <c r="P12" s="66"/>
      <c r="Q12" s="31">
        <f t="shared" si="4"/>
        <v>0</v>
      </c>
      <c r="R12" s="67">
        <v>2</v>
      </c>
      <c r="S12" s="56">
        <f>6320+2528</f>
        <v>8848</v>
      </c>
      <c r="T12" s="57">
        <f t="shared" si="14"/>
        <v>2</v>
      </c>
      <c r="U12" s="58">
        <f t="shared" si="15"/>
        <v>8848</v>
      </c>
      <c r="V12" s="68"/>
      <c r="W12" s="60">
        <f t="shared" si="0"/>
        <v>0</v>
      </c>
      <c r="X12" s="69">
        <v>9</v>
      </c>
      <c r="Y12" s="62">
        <f>6320*8+1896</f>
        <v>52456</v>
      </c>
      <c r="Z12" s="63">
        <f t="shared" si="16"/>
        <v>9</v>
      </c>
      <c r="AA12" s="41">
        <f t="shared" si="17"/>
        <v>52456</v>
      </c>
      <c r="AB12" s="152">
        <f t="shared" si="1"/>
        <v>11</v>
      </c>
      <c r="AC12" s="220">
        <f t="shared" si="5"/>
        <v>67624</v>
      </c>
      <c r="AD12" s="71"/>
      <c r="AE12" s="151">
        <f>4424+3792</f>
        <v>8216</v>
      </c>
      <c r="AG12" s="218">
        <f t="shared" si="6"/>
        <v>0</v>
      </c>
      <c r="AI12" s="151">
        <f t="shared" si="7"/>
        <v>67624</v>
      </c>
      <c r="AK12" s="142">
        <f t="shared" si="8"/>
        <v>12</v>
      </c>
      <c r="AM12" s="142">
        <f t="shared" si="9"/>
        <v>0</v>
      </c>
    </row>
    <row r="13" spans="1:39" x14ac:dyDescent="0.25">
      <c r="B13" s="174">
        <v>6320</v>
      </c>
      <c r="C13" s="46" t="s">
        <v>19</v>
      </c>
      <c r="D13" s="65"/>
      <c r="E13" s="48">
        <f t="shared" si="2"/>
        <v>0</v>
      </c>
      <c r="F13" s="49"/>
      <c r="G13" s="50"/>
      <c r="H13" s="51">
        <f t="shared" si="10"/>
        <v>0</v>
      </c>
      <c r="I13" s="52">
        <f t="shared" si="11"/>
        <v>0</v>
      </c>
      <c r="J13" s="207"/>
      <c r="K13" s="248">
        <f t="shared" si="3"/>
        <v>0</v>
      </c>
      <c r="L13" s="223"/>
      <c r="M13" s="206"/>
      <c r="N13" s="195">
        <f t="shared" si="12"/>
        <v>0</v>
      </c>
      <c r="O13" s="196">
        <f t="shared" si="13"/>
        <v>0</v>
      </c>
      <c r="P13" s="66"/>
      <c r="Q13" s="31">
        <f t="shared" si="4"/>
        <v>0</v>
      </c>
      <c r="R13" s="67"/>
      <c r="S13" s="56"/>
      <c r="T13" s="57">
        <f t="shared" si="14"/>
        <v>0</v>
      </c>
      <c r="U13" s="58">
        <f t="shared" si="15"/>
        <v>0</v>
      </c>
      <c r="V13" s="68"/>
      <c r="W13" s="60">
        <f t="shared" si="0"/>
        <v>0</v>
      </c>
      <c r="X13" s="69"/>
      <c r="Y13" s="62"/>
      <c r="Z13" s="63">
        <f t="shared" si="16"/>
        <v>0</v>
      </c>
      <c r="AA13" s="41">
        <f t="shared" si="17"/>
        <v>0</v>
      </c>
      <c r="AB13" s="42">
        <f t="shared" si="1"/>
        <v>0</v>
      </c>
      <c r="AC13" s="188">
        <f t="shared" si="5"/>
        <v>0</v>
      </c>
      <c r="AD13" s="70"/>
      <c r="AE13" s="64"/>
      <c r="AG13" s="218">
        <f t="shared" si="6"/>
        <v>0</v>
      </c>
      <c r="AI13" s="64">
        <f t="shared" si="7"/>
        <v>0</v>
      </c>
      <c r="AK13" s="142">
        <f t="shared" si="8"/>
        <v>0</v>
      </c>
      <c r="AM13" s="142">
        <f t="shared" si="9"/>
        <v>0</v>
      </c>
    </row>
    <row r="14" spans="1:39" x14ac:dyDescent="0.25">
      <c r="B14" s="174">
        <v>6320</v>
      </c>
      <c r="C14" s="46" t="s">
        <v>20</v>
      </c>
      <c r="D14" s="65"/>
      <c r="E14" s="48">
        <f t="shared" si="2"/>
        <v>0</v>
      </c>
      <c r="F14" s="49"/>
      <c r="G14" s="50"/>
      <c r="H14" s="51">
        <f t="shared" si="10"/>
        <v>0</v>
      </c>
      <c r="I14" s="52">
        <f t="shared" si="11"/>
        <v>0</v>
      </c>
      <c r="J14" s="207"/>
      <c r="K14" s="248">
        <f t="shared" si="3"/>
        <v>0</v>
      </c>
      <c r="L14" s="223"/>
      <c r="M14" s="206"/>
      <c r="N14" s="195">
        <f t="shared" si="12"/>
        <v>0</v>
      </c>
      <c r="O14" s="196">
        <f t="shared" si="13"/>
        <v>0</v>
      </c>
      <c r="P14" s="66"/>
      <c r="Q14" s="31">
        <f t="shared" si="4"/>
        <v>0</v>
      </c>
      <c r="R14" s="67"/>
      <c r="S14" s="56"/>
      <c r="T14" s="57">
        <f t="shared" si="14"/>
        <v>0</v>
      </c>
      <c r="U14" s="58">
        <f t="shared" si="15"/>
        <v>0</v>
      </c>
      <c r="V14" s="68"/>
      <c r="W14" s="60">
        <f t="shared" si="0"/>
        <v>0</v>
      </c>
      <c r="X14" s="69"/>
      <c r="Y14" s="62"/>
      <c r="Z14" s="63">
        <f t="shared" si="16"/>
        <v>0</v>
      </c>
      <c r="AA14" s="41">
        <f t="shared" si="17"/>
        <v>0</v>
      </c>
      <c r="AB14" s="42">
        <f t="shared" si="1"/>
        <v>0</v>
      </c>
      <c r="AC14" s="188">
        <f t="shared" si="5"/>
        <v>0</v>
      </c>
      <c r="AD14" s="70"/>
      <c r="AE14" s="64"/>
      <c r="AG14" s="218">
        <f t="shared" si="6"/>
        <v>0</v>
      </c>
      <c r="AI14" s="64">
        <f t="shared" si="7"/>
        <v>0</v>
      </c>
      <c r="AK14" s="142">
        <f t="shared" si="8"/>
        <v>0</v>
      </c>
      <c r="AM14" s="142">
        <f t="shared" si="9"/>
        <v>0</v>
      </c>
    </row>
    <row r="15" spans="1:39" x14ac:dyDescent="0.25">
      <c r="B15" s="174">
        <v>6320</v>
      </c>
      <c r="C15" s="153" t="s">
        <v>21</v>
      </c>
      <c r="D15" s="65"/>
      <c r="E15" s="48">
        <f t="shared" si="2"/>
        <v>0</v>
      </c>
      <c r="F15" s="49"/>
      <c r="G15" s="50"/>
      <c r="H15" s="51">
        <f t="shared" si="10"/>
        <v>0</v>
      </c>
      <c r="I15" s="52">
        <f t="shared" si="11"/>
        <v>0</v>
      </c>
      <c r="J15" s="207"/>
      <c r="K15" s="248">
        <f t="shared" si="3"/>
        <v>0</v>
      </c>
      <c r="L15" s="223"/>
      <c r="M15" s="206"/>
      <c r="N15" s="195">
        <f t="shared" si="12"/>
        <v>0</v>
      </c>
      <c r="O15" s="196">
        <f t="shared" si="13"/>
        <v>0</v>
      </c>
      <c r="P15" s="66"/>
      <c r="Q15" s="31">
        <f t="shared" si="4"/>
        <v>0</v>
      </c>
      <c r="R15" s="67">
        <v>5</v>
      </c>
      <c r="S15" s="56">
        <f>6320*4+1264</f>
        <v>26544</v>
      </c>
      <c r="T15" s="57">
        <f t="shared" si="14"/>
        <v>5</v>
      </c>
      <c r="U15" s="58">
        <f t="shared" si="15"/>
        <v>26544</v>
      </c>
      <c r="V15" s="68"/>
      <c r="W15" s="60">
        <f t="shared" si="0"/>
        <v>0</v>
      </c>
      <c r="X15" s="69">
        <v>1</v>
      </c>
      <c r="Y15" s="62">
        <v>6320</v>
      </c>
      <c r="Z15" s="63">
        <f t="shared" si="16"/>
        <v>1</v>
      </c>
      <c r="AA15" s="41">
        <f t="shared" si="17"/>
        <v>6320</v>
      </c>
      <c r="AB15" s="152">
        <f t="shared" si="1"/>
        <v>6</v>
      </c>
      <c r="AC15" s="220">
        <f t="shared" si="5"/>
        <v>32864</v>
      </c>
      <c r="AD15" s="70"/>
      <c r="AE15" s="151">
        <v>5056</v>
      </c>
      <c r="AG15" s="218">
        <f t="shared" si="6"/>
        <v>0</v>
      </c>
      <c r="AI15" s="151">
        <f t="shared" si="7"/>
        <v>32864</v>
      </c>
      <c r="AK15" s="142">
        <f t="shared" si="8"/>
        <v>6</v>
      </c>
      <c r="AM15" s="142">
        <f t="shared" si="9"/>
        <v>0</v>
      </c>
    </row>
    <row r="16" spans="1:39" x14ac:dyDescent="0.25">
      <c r="B16" s="174" t="s">
        <v>26</v>
      </c>
      <c r="C16" s="46" t="s">
        <v>33</v>
      </c>
      <c r="D16" s="65"/>
      <c r="E16" s="48">
        <v>0</v>
      </c>
      <c r="F16" s="49"/>
      <c r="G16" s="50"/>
      <c r="H16" s="51">
        <f t="shared" si="10"/>
        <v>0</v>
      </c>
      <c r="I16" s="52">
        <f t="shared" si="11"/>
        <v>0</v>
      </c>
      <c r="J16" s="207"/>
      <c r="K16" s="248">
        <v>0</v>
      </c>
      <c r="L16" s="223"/>
      <c r="M16" s="206"/>
      <c r="N16" s="195">
        <f t="shared" si="12"/>
        <v>0</v>
      </c>
      <c r="O16" s="196">
        <f t="shared" si="13"/>
        <v>0</v>
      </c>
      <c r="P16" s="66"/>
      <c r="Q16" s="31">
        <v>0</v>
      </c>
      <c r="R16" s="67"/>
      <c r="S16" s="56"/>
      <c r="T16" s="57">
        <f t="shared" si="14"/>
        <v>0</v>
      </c>
      <c r="U16" s="58">
        <v>0</v>
      </c>
      <c r="V16" s="68"/>
      <c r="W16" s="60">
        <v>0</v>
      </c>
      <c r="X16" s="69"/>
      <c r="Y16" s="62"/>
      <c r="Z16" s="63">
        <f>+X16+V16</f>
        <v>0</v>
      </c>
      <c r="AA16" s="41">
        <f>+Y16+W16</f>
        <v>0</v>
      </c>
      <c r="AB16" s="42">
        <f t="shared" si="1"/>
        <v>0</v>
      </c>
      <c r="AC16" s="188">
        <f t="shared" si="5"/>
        <v>0</v>
      </c>
      <c r="AD16" s="70"/>
      <c r="AE16" s="64"/>
      <c r="AG16" s="218">
        <f t="shared" si="6"/>
        <v>0</v>
      </c>
      <c r="AI16" s="64">
        <f t="shared" si="7"/>
        <v>0</v>
      </c>
      <c r="AK16" s="142">
        <f t="shared" si="8"/>
        <v>0</v>
      </c>
      <c r="AM16" s="142">
        <f t="shared" si="9"/>
        <v>0</v>
      </c>
    </row>
    <row r="17" spans="2:41" x14ac:dyDescent="0.25">
      <c r="B17" s="175">
        <v>14010</v>
      </c>
      <c r="C17" s="46" t="s">
        <v>23</v>
      </c>
      <c r="D17" s="65"/>
      <c r="E17" s="48">
        <f t="shared" si="2"/>
        <v>0</v>
      </c>
      <c r="F17" s="49"/>
      <c r="G17" s="50"/>
      <c r="H17" s="51">
        <f t="shared" si="10"/>
        <v>0</v>
      </c>
      <c r="I17" s="52">
        <f t="shared" si="11"/>
        <v>0</v>
      </c>
      <c r="J17" s="207"/>
      <c r="K17" s="248">
        <f t="shared" si="3"/>
        <v>0</v>
      </c>
      <c r="L17" s="223"/>
      <c r="M17" s="206"/>
      <c r="N17" s="195">
        <f t="shared" si="12"/>
        <v>0</v>
      </c>
      <c r="O17" s="196">
        <f t="shared" si="13"/>
        <v>0</v>
      </c>
      <c r="P17" s="66"/>
      <c r="Q17" s="31">
        <f t="shared" si="4"/>
        <v>0</v>
      </c>
      <c r="R17" s="67"/>
      <c r="S17" s="56"/>
      <c r="T17" s="57">
        <f t="shared" si="14"/>
        <v>0</v>
      </c>
      <c r="U17" s="58">
        <f t="shared" si="15"/>
        <v>0</v>
      </c>
      <c r="V17" s="68"/>
      <c r="W17" s="60">
        <f t="shared" si="0"/>
        <v>0</v>
      </c>
      <c r="X17" s="69"/>
      <c r="Y17" s="62"/>
      <c r="Z17" s="63">
        <f t="shared" si="16"/>
        <v>0</v>
      </c>
      <c r="AA17" s="41">
        <f t="shared" si="17"/>
        <v>0</v>
      </c>
      <c r="AB17" s="42">
        <f t="shared" si="1"/>
        <v>0</v>
      </c>
      <c r="AC17" s="188">
        <f t="shared" si="5"/>
        <v>0</v>
      </c>
      <c r="AD17" s="70"/>
      <c r="AE17" s="64"/>
      <c r="AG17" s="218">
        <f t="shared" si="6"/>
        <v>0</v>
      </c>
      <c r="AI17" s="64">
        <f t="shared" si="7"/>
        <v>0</v>
      </c>
      <c r="AK17" s="142">
        <f t="shared" si="8"/>
        <v>0</v>
      </c>
      <c r="AM17" s="142">
        <f t="shared" si="9"/>
        <v>0</v>
      </c>
    </row>
    <row r="18" spans="2:41" x14ac:dyDescent="0.25">
      <c r="B18" s="174">
        <v>11870</v>
      </c>
      <c r="C18" s="46" t="s">
        <v>24</v>
      </c>
      <c r="D18" s="65"/>
      <c r="E18" s="48">
        <f t="shared" si="2"/>
        <v>0</v>
      </c>
      <c r="F18" s="49"/>
      <c r="G18" s="50"/>
      <c r="H18" s="51">
        <f t="shared" si="10"/>
        <v>0</v>
      </c>
      <c r="I18" s="52">
        <f t="shared" si="11"/>
        <v>0</v>
      </c>
      <c r="J18" s="207"/>
      <c r="K18" s="248">
        <f t="shared" si="3"/>
        <v>0</v>
      </c>
      <c r="L18" s="223"/>
      <c r="M18" s="206"/>
      <c r="N18" s="195">
        <f t="shared" si="12"/>
        <v>0</v>
      </c>
      <c r="O18" s="196">
        <f t="shared" si="13"/>
        <v>0</v>
      </c>
      <c r="P18" s="66"/>
      <c r="Q18" s="31">
        <f t="shared" si="4"/>
        <v>0</v>
      </c>
      <c r="R18" s="67"/>
      <c r="S18" s="56"/>
      <c r="T18" s="57">
        <f t="shared" si="14"/>
        <v>0</v>
      </c>
      <c r="U18" s="58">
        <f t="shared" si="15"/>
        <v>0</v>
      </c>
      <c r="V18" s="68"/>
      <c r="W18" s="60">
        <f t="shared" si="0"/>
        <v>0</v>
      </c>
      <c r="X18" s="69"/>
      <c r="Y18" s="62"/>
      <c r="Z18" s="63">
        <f t="shared" si="16"/>
        <v>0</v>
      </c>
      <c r="AA18" s="41">
        <f t="shared" si="17"/>
        <v>0</v>
      </c>
      <c r="AB18" s="42">
        <f t="shared" si="1"/>
        <v>0</v>
      </c>
      <c r="AC18" s="188">
        <f t="shared" si="5"/>
        <v>0</v>
      </c>
      <c r="AD18" s="70"/>
      <c r="AE18" s="64"/>
      <c r="AG18" s="218">
        <f t="shared" si="6"/>
        <v>0</v>
      </c>
      <c r="AI18" s="64">
        <f t="shared" si="7"/>
        <v>0</v>
      </c>
      <c r="AK18" s="142">
        <f t="shared" si="8"/>
        <v>0</v>
      </c>
      <c r="AM18" s="142">
        <f t="shared" si="9"/>
        <v>0</v>
      </c>
    </row>
    <row r="19" spans="2:41" x14ac:dyDescent="0.25">
      <c r="B19" s="174">
        <v>6710</v>
      </c>
      <c r="C19" s="46" t="s">
        <v>0</v>
      </c>
      <c r="D19" s="65"/>
      <c r="E19" s="48">
        <f t="shared" si="2"/>
        <v>0</v>
      </c>
      <c r="F19" s="72"/>
      <c r="G19" s="50"/>
      <c r="H19" s="51">
        <f t="shared" si="10"/>
        <v>0</v>
      </c>
      <c r="I19" s="52">
        <f t="shared" si="11"/>
        <v>0</v>
      </c>
      <c r="J19" s="207"/>
      <c r="K19" s="248">
        <f t="shared" si="3"/>
        <v>0</v>
      </c>
      <c r="L19" s="224"/>
      <c r="M19" s="206"/>
      <c r="N19" s="195">
        <f t="shared" si="12"/>
        <v>0</v>
      </c>
      <c r="O19" s="196">
        <f t="shared" si="13"/>
        <v>0</v>
      </c>
      <c r="P19" s="66"/>
      <c r="Q19" s="31">
        <f t="shared" si="4"/>
        <v>0</v>
      </c>
      <c r="R19" s="73"/>
      <c r="S19" s="56"/>
      <c r="T19" s="57">
        <f t="shared" si="14"/>
        <v>0</v>
      </c>
      <c r="U19" s="58">
        <f t="shared" si="15"/>
        <v>0</v>
      </c>
      <c r="V19" s="68"/>
      <c r="W19" s="60">
        <f t="shared" si="0"/>
        <v>0</v>
      </c>
      <c r="X19" s="74"/>
      <c r="Y19" s="62"/>
      <c r="Z19" s="63">
        <f t="shared" si="16"/>
        <v>0</v>
      </c>
      <c r="AA19" s="41">
        <f t="shared" si="17"/>
        <v>0</v>
      </c>
      <c r="AB19" s="42">
        <f t="shared" si="1"/>
        <v>0</v>
      </c>
      <c r="AC19" s="188">
        <f t="shared" si="5"/>
        <v>0</v>
      </c>
      <c r="AD19" s="70"/>
      <c r="AE19" s="64"/>
      <c r="AF19" s="1" t="s">
        <v>25</v>
      </c>
      <c r="AG19" s="218">
        <f t="shared" si="6"/>
        <v>0</v>
      </c>
      <c r="AI19" s="64">
        <f t="shared" si="7"/>
        <v>0</v>
      </c>
      <c r="AK19" s="142">
        <f t="shared" si="8"/>
        <v>0</v>
      </c>
      <c r="AM19" s="142">
        <f t="shared" si="9"/>
        <v>0</v>
      </c>
    </row>
    <row r="20" spans="2:41" x14ac:dyDescent="0.25">
      <c r="B20" s="174" t="s">
        <v>26</v>
      </c>
      <c r="C20" s="46" t="s">
        <v>0</v>
      </c>
      <c r="D20" s="65"/>
      <c r="E20" s="48">
        <v>0</v>
      </c>
      <c r="F20" s="49"/>
      <c r="G20" s="50"/>
      <c r="H20" s="51">
        <f t="shared" si="10"/>
        <v>0</v>
      </c>
      <c r="I20" s="52">
        <f t="shared" si="11"/>
        <v>0</v>
      </c>
      <c r="J20" s="207"/>
      <c r="K20" s="248">
        <v>0</v>
      </c>
      <c r="L20" s="223"/>
      <c r="M20" s="206"/>
      <c r="N20" s="195">
        <f t="shared" si="12"/>
        <v>0</v>
      </c>
      <c r="O20" s="196">
        <f t="shared" si="13"/>
        <v>0</v>
      </c>
      <c r="P20" s="66"/>
      <c r="Q20" s="31">
        <v>0</v>
      </c>
      <c r="R20" s="67"/>
      <c r="S20" s="56"/>
      <c r="T20" s="57">
        <f t="shared" si="14"/>
        <v>0</v>
      </c>
      <c r="U20" s="58">
        <f t="shared" si="15"/>
        <v>0</v>
      </c>
      <c r="V20" s="68"/>
      <c r="W20" s="60">
        <v>0</v>
      </c>
      <c r="X20" s="69"/>
      <c r="Y20" s="62"/>
      <c r="Z20" s="63">
        <f t="shared" si="16"/>
        <v>0</v>
      </c>
      <c r="AA20" s="41">
        <f t="shared" si="17"/>
        <v>0</v>
      </c>
      <c r="AB20" s="42">
        <f t="shared" si="1"/>
        <v>0</v>
      </c>
      <c r="AC20" s="188">
        <f t="shared" si="5"/>
        <v>0</v>
      </c>
      <c r="AD20" s="70"/>
      <c r="AE20" s="64"/>
      <c r="AG20" s="218">
        <f t="shared" si="6"/>
        <v>0</v>
      </c>
      <c r="AI20" s="64">
        <f t="shared" si="7"/>
        <v>0</v>
      </c>
      <c r="AK20" s="142">
        <f t="shared" si="8"/>
        <v>0</v>
      </c>
      <c r="AM20" s="142">
        <f t="shared" si="9"/>
        <v>0</v>
      </c>
    </row>
    <row r="21" spans="2:41" x14ac:dyDescent="0.25">
      <c r="B21" s="174" t="s">
        <v>26</v>
      </c>
      <c r="C21" s="153" t="s">
        <v>28</v>
      </c>
      <c r="D21" s="65"/>
      <c r="E21" s="75">
        <v>0</v>
      </c>
      <c r="F21" s="49"/>
      <c r="G21" s="50"/>
      <c r="H21" s="51">
        <f t="shared" si="10"/>
        <v>0</v>
      </c>
      <c r="I21" s="52">
        <f t="shared" si="11"/>
        <v>0</v>
      </c>
      <c r="J21" s="207"/>
      <c r="K21" s="248">
        <v>0</v>
      </c>
      <c r="L21" s="223">
        <v>5</v>
      </c>
      <c r="M21" s="206">
        <f>17357+24700*2+30250+30910</f>
        <v>127917</v>
      </c>
      <c r="N21" s="195">
        <f t="shared" si="12"/>
        <v>5</v>
      </c>
      <c r="O21" s="196">
        <f t="shared" si="13"/>
        <v>127917</v>
      </c>
      <c r="P21" s="66"/>
      <c r="Q21" s="31">
        <v>0</v>
      </c>
      <c r="R21" s="67">
        <v>1</v>
      </c>
      <c r="S21" s="56">
        <v>13750</v>
      </c>
      <c r="T21" s="57">
        <f t="shared" si="14"/>
        <v>1</v>
      </c>
      <c r="U21" s="58">
        <f t="shared" si="15"/>
        <v>13750</v>
      </c>
      <c r="V21" s="68"/>
      <c r="W21" s="60">
        <v>0</v>
      </c>
      <c r="X21" s="69">
        <v>8</v>
      </c>
      <c r="Y21" s="62">
        <f>24700*2+17160*5+13750</f>
        <v>148950</v>
      </c>
      <c r="Z21" s="63">
        <f t="shared" si="16"/>
        <v>8</v>
      </c>
      <c r="AA21" s="41">
        <f t="shared" si="17"/>
        <v>148950</v>
      </c>
      <c r="AB21" s="152">
        <f t="shared" si="1"/>
        <v>9</v>
      </c>
      <c r="AC21" s="220">
        <f t="shared" si="5"/>
        <v>290617</v>
      </c>
      <c r="AD21" s="70"/>
      <c r="AE21" s="151">
        <v>7343</v>
      </c>
      <c r="AG21" s="218">
        <f t="shared" si="6"/>
        <v>0</v>
      </c>
      <c r="AI21" s="151">
        <f t="shared" si="7"/>
        <v>290617</v>
      </c>
      <c r="AK21" s="142">
        <f t="shared" si="8"/>
        <v>14</v>
      </c>
      <c r="AM21" s="142">
        <f t="shared" si="9"/>
        <v>0</v>
      </c>
    </row>
    <row r="22" spans="2:41" ht="15.75" thickBot="1" x14ac:dyDescent="0.3">
      <c r="B22" s="176" t="s">
        <v>26</v>
      </c>
      <c r="C22" s="155" t="s">
        <v>29</v>
      </c>
      <c r="D22" s="77"/>
      <c r="E22" s="78">
        <v>0</v>
      </c>
      <c r="F22" s="79"/>
      <c r="G22" s="80"/>
      <c r="H22" s="81">
        <f t="shared" si="10"/>
        <v>0</v>
      </c>
      <c r="I22" s="82">
        <f t="shared" si="11"/>
        <v>0</v>
      </c>
      <c r="J22" s="210"/>
      <c r="K22" s="250">
        <v>0</v>
      </c>
      <c r="L22" s="225">
        <v>4</v>
      </c>
      <c r="M22" s="213">
        <f>12800+19260+6430+25600</f>
        <v>64090</v>
      </c>
      <c r="N22" s="197">
        <f t="shared" si="12"/>
        <v>4</v>
      </c>
      <c r="O22" s="198">
        <f t="shared" si="13"/>
        <v>64090</v>
      </c>
      <c r="P22" s="245"/>
      <c r="Q22" s="84">
        <v>0</v>
      </c>
      <c r="R22" s="292"/>
      <c r="S22" s="237"/>
      <c r="T22" s="87">
        <f t="shared" si="14"/>
        <v>0</v>
      </c>
      <c r="U22" s="88">
        <f t="shared" si="15"/>
        <v>0</v>
      </c>
      <c r="V22" s="89"/>
      <c r="W22" s="60">
        <v>0</v>
      </c>
      <c r="X22" s="90">
        <v>5</v>
      </c>
      <c r="Y22" s="91">
        <f>23430+12800*2+6430+14980</f>
        <v>70440</v>
      </c>
      <c r="Z22" s="92">
        <f t="shared" si="16"/>
        <v>5</v>
      </c>
      <c r="AA22" s="93">
        <f t="shared" si="17"/>
        <v>70440</v>
      </c>
      <c r="AB22" s="152">
        <f t="shared" si="1"/>
        <v>5</v>
      </c>
      <c r="AC22" s="220">
        <f t="shared" si="5"/>
        <v>134530</v>
      </c>
      <c r="AD22" s="70"/>
      <c r="AE22" s="94"/>
      <c r="AG22" s="219">
        <f t="shared" si="6"/>
        <v>0</v>
      </c>
      <c r="AI22" s="154">
        <f t="shared" si="7"/>
        <v>134530</v>
      </c>
      <c r="AK22" s="144">
        <f t="shared" si="8"/>
        <v>9</v>
      </c>
      <c r="AM22" s="144">
        <f t="shared" si="9"/>
        <v>0</v>
      </c>
    </row>
    <row r="23" spans="2:41" ht="15.75" thickBot="1" x14ac:dyDescent="0.3">
      <c r="D23" s="95">
        <f t="shared" ref="D23:I23" si="18">SUM(D8:D22)</f>
        <v>0</v>
      </c>
      <c r="E23" s="96">
        <f t="shared" si="18"/>
        <v>0</v>
      </c>
      <c r="F23" s="95">
        <f t="shared" si="18"/>
        <v>0</v>
      </c>
      <c r="G23" s="97">
        <f t="shared" si="18"/>
        <v>0</v>
      </c>
      <c r="H23" s="98">
        <f t="shared" si="18"/>
        <v>0</v>
      </c>
      <c r="I23" s="99">
        <f t="shared" si="18"/>
        <v>0</v>
      </c>
      <c r="J23" s="214">
        <f t="shared" ref="J23:O23" si="19">SUM(J8:J22)</f>
        <v>0</v>
      </c>
      <c r="K23" s="226">
        <f t="shared" si="19"/>
        <v>0</v>
      </c>
      <c r="L23" s="214">
        <f t="shared" si="19"/>
        <v>16</v>
      </c>
      <c r="M23" s="216">
        <f t="shared" si="19"/>
        <v>231191</v>
      </c>
      <c r="N23" s="217">
        <f t="shared" si="19"/>
        <v>16</v>
      </c>
      <c r="O23" s="99">
        <f t="shared" si="19"/>
        <v>231191</v>
      </c>
      <c r="P23" s="244">
        <f t="shared" ref="P23:AA23" si="20">SUM(P8:P22)</f>
        <v>0</v>
      </c>
      <c r="Q23" s="101">
        <f t="shared" si="20"/>
        <v>0</v>
      </c>
      <c r="R23" s="244">
        <f t="shared" si="20"/>
        <v>16</v>
      </c>
      <c r="S23" s="289">
        <f t="shared" si="20"/>
        <v>97097</v>
      </c>
      <c r="T23" s="103">
        <f t="shared" si="20"/>
        <v>16</v>
      </c>
      <c r="U23" s="104">
        <f t="shared" si="20"/>
        <v>97097</v>
      </c>
      <c r="V23" s="105">
        <f t="shared" si="20"/>
        <v>0</v>
      </c>
      <c r="W23" s="106">
        <f t="shared" si="20"/>
        <v>0</v>
      </c>
      <c r="X23" s="105">
        <f t="shared" si="20"/>
        <v>48</v>
      </c>
      <c r="Y23" s="107">
        <f t="shared" si="20"/>
        <v>436166</v>
      </c>
      <c r="Z23" s="108">
        <f t="shared" si="20"/>
        <v>48</v>
      </c>
      <c r="AA23" s="104">
        <f t="shared" si="20"/>
        <v>436166</v>
      </c>
      <c r="AB23" s="109" t="s">
        <v>9</v>
      </c>
      <c r="AC23" s="43">
        <f>SUM(AC8:AC22)</f>
        <v>764454</v>
      </c>
      <c r="AD23" s="70"/>
      <c r="AE23" s="1">
        <f>SUM(AE8:AE22)</f>
        <v>28276</v>
      </c>
      <c r="AI23" s="110"/>
      <c r="AK23" s="1">
        <f>SUM(AK8:AK22)</f>
        <v>80</v>
      </c>
      <c r="AM23" s="1">
        <f>SUM(AM8:AM22)</f>
        <v>0</v>
      </c>
      <c r="AO23" s="1">
        <f>+AK23+AM23</f>
        <v>80</v>
      </c>
    </row>
    <row r="24" spans="2:41" x14ac:dyDescent="0.25">
      <c r="G24" s="111"/>
      <c r="H24" s="111"/>
      <c r="I24" s="111"/>
      <c r="M24" s="111"/>
      <c r="N24" s="111"/>
      <c r="O24" s="111"/>
      <c r="P24" s="111"/>
      <c r="Q24" s="111"/>
      <c r="R24" s="112">
        <f>X23+F23+R23+L23</f>
        <v>80</v>
      </c>
      <c r="S24" s="113">
        <f>G23+Y23+S23+M23</f>
        <v>764454</v>
      </c>
      <c r="T24" s="111"/>
      <c r="U24" s="111"/>
      <c r="V24" s="111"/>
      <c r="W24" s="111"/>
      <c r="X24" s="111"/>
      <c r="Y24" s="111"/>
      <c r="Z24" s="111"/>
      <c r="AA24" s="111"/>
      <c r="AB24" s="2"/>
      <c r="AC24" s="70">
        <f>AA23+U23+I23+O23</f>
        <v>764454</v>
      </c>
      <c r="AD24" s="2"/>
    </row>
    <row r="25" spans="2:41" x14ac:dyDescent="0.25">
      <c r="D25" s="114" t="s">
        <v>30</v>
      </c>
      <c r="E25" s="114"/>
      <c r="G25" s="114"/>
      <c r="H25" s="114"/>
      <c r="I25" s="114"/>
      <c r="J25" s="114" t="s">
        <v>30</v>
      </c>
      <c r="K25" s="114"/>
      <c r="M25" s="114"/>
      <c r="N25" s="114"/>
      <c r="O25" s="114"/>
      <c r="P25" s="114"/>
      <c r="Q25" s="114"/>
      <c r="R25" s="114"/>
      <c r="S25" s="114"/>
      <c r="T25" s="114"/>
      <c r="U25" s="114"/>
      <c r="AA25" s="2"/>
      <c r="AB25" s="2"/>
      <c r="AC25" s="2"/>
      <c r="AD25" s="2"/>
    </row>
    <row r="26" spans="2:41" x14ac:dyDescent="0.25">
      <c r="D26" s="114"/>
      <c r="E26" s="114"/>
      <c r="J26" s="114"/>
      <c r="K26" s="114"/>
      <c r="P26" s="1"/>
      <c r="Q26" s="1"/>
      <c r="R26" s="1"/>
      <c r="S26" s="1"/>
      <c r="T26" s="1"/>
      <c r="U26" s="1"/>
      <c r="AA26" s="2"/>
      <c r="AB26" s="2"/>
      <c r="AC26" s="2"/>
      <c r="AD26" s="2"/>
    </row>
    <row r="27" spans="2:41" x14ac:dyDescent="0.25">
      <c r="C27" s="115">
        <v>20000</v>
      </c>
      <c r="D27" s="115"/>
      <c r="E27" s="115"/>
      <c r="F27" s="116"/>
      <c r="G27" s="117"/>
      <c r="H27" s="118"/>
      <c r="I27" s="119"/>
      <c r="J27" s="115"/>
      <c r="K27" s="115"/>
      <c r="L27" s="116"/>
      <c r="M27" s="117"/>
      <c r="N27" s="118"/>
      <c r="O27" s="119">
        <v>40000</v>
      </c>
      <c r="P27" s="119"/>
      <c r="Q27" s="119"/>
      <c r="R27" s="119"/>
      <c r="S27" s="119"/>
      <c r="T27" s="119"/>
      <c r="U27" s="119">
        <v>20000</v>
      </c>
      <c r="V27" s="119"/>
      <c r="W27" s="119"/>
      <c r="X27" s="120"/>
      <c r="Y27" s="121"/>
      <c r="Z27" s="120"/>
      <c r="AA27" s="119">
        <v>120000</v>
      </c>
      <c r="AB27" s="122"/>
      <c r="AC27" s="122"/>
      <c r="AD27" s="2"/>
      <c r="AE27" s="2"/>
      <c r="AF27" s="2"/>
    </row>
    <row r="28" spans="2:41" x14ac:dyDescent="0.25">
      <c r="C28" s="115">
        <v>10000</v>
      </c>
      <c r="D28" s="115"/>
      <c r="E28" s="115"/>
      <c r="F28" s="116"/>
      <c r="G28" s="117"/>
      <c r="H28" s="118"/>
      <c r="I28" s="119"/>
      <c r="J28" s="115"/>
      <c r="K28" s="115"/>
      <c r="L28" s="116"/>
      <c r="M28" s="117"/>
      <c r="N28" s="118"/>
      <c r="O28" s="119">
        <v>150000</v>
      </c>
      <c r="P28" s="119"/>
      <c r="Q28" s="119"/>
      <c r="R28" s="119"/>
      <c r="S28" s="119"/>
      <c r="T28" s="119"/>
      <c r="U28" s="119">
        <v>60000</v>
      </c>
      <c r="V28" s="119"/>
      <c r="W28" s="119"/>
      <c r="X28" s="120"/>
      <c r="Y28" s="122"/>
      <c r="Z28" s="120"/>
      <c r="AA28" s="119">
        <v>140000</v>
      </c>
      <c r="AB28" s="122"/>
      <c r="AC28" s="122"/>
      <c r="AD28" s="2"/>
      <c r="AE28" s="2"/>
      <c r="AF28" s="2"/>
    </row>
    <row r="29" spans="2:41" x14ac:dyDescent="0.25">
      <c r="C29" s="115">
        <v>5000</v>
      </c>
      <c r="D29" s="115"/>
      <c r="E29" s="115"/>
      <c r="F29" s="116"/>
      <c r="G29" s="117"/>
      <c r="H29" s="118"/>
      <c r="I29" s="119"/>
      <c r="J29" s="115"/>
      <c r="K29" s="115"/>
      <c r="L29" s="116"/>
      <c r="M29" s="117"/>
      <c r="N29" s="118"/>
      <c r="O29" s="119">
        <v>0</v>
      </c>
      <c r="P29" s="119"/>
      <c r="Q29" s="119"/>
      <c r="R29" s="119"/>
      <c r="S29" s="119"/>
      <c r="T29" s="119"/>
      <c r="U29" s="119">
        <v>5000</v>
      </c>
      <c r="V29" s="119"/>
      <c r="W29" s="119"/>
      <c r="X29" s="120"/>
      <c r="Y29" s="121"/>
      <c r="Z29" s="120"/>
      <c r="AA29" s="119">
        <v>5000</v>
      </c>
      <c r="AB29" s="122"/>
      <c r="AC29" s="122"/>
      <c r="AD29" s="2"/>
      <c r="AE29" s="2"/>
      <c r="AF29" s="2"/>
    </row>
    <row r="30" spans="2:41" x14ac:dyDescent="0.25">
      <c r="C30" s="115">
        <v>2000</v>
      </c>
      <c r="D30" s="115"/>
      <c r="E30" s="115"/>
      <c r="F30" s="116"/>
      <c r="G30" s="117"/>
      <c r="H30" s="118"/>
      <c r="I30" s="119"/>
      <c r="J30" s="115"/>
      <c r="K30" s="115"/>
      <c r="L30" s="116"/>
      <c r="M30" s="117"/>
      <c r="N30" s="118"/>
      <c r="O30" s="119">
        <v>0</v>
      </c>
      <c r="P30" s="119"/>
      <c r="Q30" s="119"/>
      <c r="R30" s="119"/>
      <c r="S30" s="119"/>
      <c r="T30" s="119"/>
      <c r="U30" s="124">
        <v>6000</v>
      </c>
      <c r="V30" s="119"/>
      <c r="W30" s="119"/>
      <c r="X30" s="120"/>
      <c r="Y30" s="121"/>
      <c r="Z30" s="120"/>
      <c r="AA30" s="119">
        <v>0</v>
      </c>
      <c r="AB30" s="122"/>
      <c r="AC30" s="122"/>
      <c r="AD30" s="123"/>
    </row>
    <row r="31" spans="2:41" x14ac:dyDescent="0.25">
      <c r="C31" s="115">
        <v>1000</v>
      </c>
      <c r="D31" s="115"/>
      <c r="E31" s="115"/>
      <c r="F31" s="116"/>
      <c r="G31" s="117"/>
      <c r="H31" s="118"/>
      <c r="I31" s="124"/>
      <c r="J31" s="115"/>
      <c r="K31" s="115"/>
      <c r="L31" s="116"/>
      <c r="M31" s="117"/>
      <c r="N31" s="118"/>
      <c r="O31" s="124">
        <v>41000</v>
      </c>
      <c r="P31" s="124"/>
      <c r="Q31" s="124"/>
      <c r="R31" s="124"/>
      <c r="S31" s="124"/>
      <c r="T31" s="124"/>
      <c r="U31" s="124">
        <v>6000</v>
      </c>
      <c r="V31" s="124"/>
      <c r="W31" s="124"/>
      <c r="X31" s="120"/>
      <c r="Y31" s="121"/>
      <c r="Z31" s="120"/>
      <c r="AA31" s="124">
        <v>0</v>
      </c>
      <c r="AB31" s="122"/>
      <c r="AC31" s="122"/>
      <c r="AD31" s="2"/>
    </row>
    <row r="32" spans="2:41" x14ac:dyDescent="0.25">
      <c r="C32" s="115">
        <v>500</v>
      </c>
      <c r="D32" s="115"/>
      <c r="E32" s="115"/>
      <c r="F32" s="116"/>
      <c r="G32" s="117"/>
      <c r="H32" s="118"/>
      <c r="I32" s="119"/>
      <c r="J32" s="115"/>
      <c r="K32" s="115"/>
      <c r="L32" s="116"/>
      <c r="M32" s="117"/>
      <c r="N32" s="118"/>
      <c r="O32" s="119">
        <v>0</v>
      </c>
      <c r="P32" s="119"/>
      <c r="Q32" s="119"/>
      <c r="R32" s="119"/>
      <c r="S32" s="119"/>
      <c r="T32" s="119"/>
      <c r="U32" s="119">
        <v>0</v>
      </c>
      <c r="V32" s="119"/>
      <c r="W32" s="119"/>
      <c r="X32" s="120"/>
      <c r="Y32" s="121"/>
      <c r="Z32" s="120"/>
      <c r="AA32" s="119">
        <v>500</v>
      </c>
      <c r="AB32" s="121"/>
      <c r="AC32" s="121"/>
      <c r="AD32" s="2"/>
    </row>
    <row r="33" spans="2:33" x14ac:dyDescent="0.25">
      <c r="C33" s="115">
        <v>100</v>
      </c>
      <c r="D33" s="115"/>
      <c r="E33" s="115"/>
      <c r="F33" s="116"/>
      <c r="G33" s="117"/>
      <c r="H33" s="118"/>
      <c r="I33" s="119"/>
      <c r="J33" s="115"/>
      <c r="K33" s="115"/>
      <c r="L33" s="116"/>
      <c r="M33" s="117"/>
      <c r="N33" s="118"/>
      <c r="O33" s="119">
        <v>100</v>
      </c>
      <c r="P33" s="119"/>
      <c r="Q33" s="119"/>
      <c r="R33" s="119"/>
      <c r="S33" s="119"/>
      <c r="T33" s="119"/>
      <c r="U33" s="119">
        <v>100</v>
      </c>
      <c r="V33" s="119"/>
      <c r="W33" s="119"/>
      <c r="X33" s="120"/>
      <c r="Y33" s="121"/>
      <c r="Z33" s="120"/>
      <c r="AA33" s="119">
        <v>0</v>
      </c>
      <c r="AB33" s="121"/>
      <c r="AC33" s="121"/>
      <c r="AD33" s="2"/>
    </row>
    <row r="34" spans="2:33" x14ac:dyDescent="0.25">
      <c r="C34" s="115">
        <v>50</v>
      </c>
      <c r="D34" s="115"/>
      <c r="E34" s="115"/>
      <c r="F34" s="116"/>
      <c r="G34" s="117"/>
      <c r="H34" s="118"/>
      <c r="I34" s="119"/>
      <c r="J34" s="115"/>
      <c r="K34" s="115"/>
      <c r="L34" s="116"/>
      <c r="M34" s="117"/>
      <c r="N34" s="118"/>
      <c r="O34" s="119">
        <v>50</v>
      </c>
      <c r="P34" s="119"/>
      <c r="Q34" s="119"/>
      <c r="R34" s="119"/>
      <c r="S34" s="119"/>
      <c r="T34" s="119"/>
      <c r="U34" s="119">
        <v>0</v>
      </c>
      <c r="V34" s="119"/>
      <c r="W34" s="119"/>
      <c r="X34" s="120"/>
      <c r="Y34" s="121"/>
      <c r="Z34" s="120"/>
      <c r="AA34" s="119">
        <v>0</v>
      </c>
      <c r="AB34" s="121"/>
      <c r="AC34" s="121"/>
      <c r="AD34" s="2"/>
    </row>
    <row r="35" spans="2:33" x14ac:dyDescent="0.25">
      <c r="C35" s="115">
        <v>10</v>
      </c>
      <c r="D35" s="115"/>
      <c r="E35" s="115"/>
      <c r="F35" s="116"/>
      <c r="G35" s="117"/>
      <c r="H35" s="118"/>
      <c r="I35" s="119"/>
      <c r="J35" s="115"/>
      <c r="K35" s="115"/>
      <c r="L35" s="116"/>
      <c r="M35" s="117"/>
      <c r="N35" s="118"/>
      <c r="O35" s="119">
        <v>40</v>
      </c>
      <c r="P35" s="119"/>
      <c r="Q35" s="119"/>
      <c r="R35" s="119"/>
      <c r="S35" s="119"/>
      <c r="T35" s="119"/>
      <c r="U35" s="119">
        <v>0</v>
      </c>
      <c r="V35" s="119"/>
      <c r="W35" s="119"/>
      <c r="X35" s="120"/>
      <c r="Y35" s="121"/>
      <c r="Z35" s="120"/>
      <c r="AA35" s="119">
        <v>30</v>
      </c>
      <c r="AB35" s="121"/>
      <c r="AC35" s="121"/>
      <c r="AD35" s="2"/>
      <c r="AG35" s="1" t="s">
        <v>25</v>
      </c>
    </row>
    <row r="36" spans="2:33" x14ac:dyDescent="0.25">
      <c r="C36" s="1" t="s">
        <v>32</v>
      </c>
      <c r="E36" s="131"/>
      <c r="G36" s="125"/>
      <c r="H36" s="118"/>
      <c r="I36" s="124"/>
      <c r="K36" s="131"/>
      <c r="M36" s="125"/>
      <c r="N36" s="118"/>
      <c r="O36" s="124">
        <v>1</v>
      </c>
      <c r="P36" s="124"/>
      <c r="Q36" s="124"/>
      <c r="R36" s="124"/>
      <c r="S36" s="124"/>
      <c r="T36" s="124"/>
      <c r="U36" s="124">
        <v>-3</v>
      </c>
      <c r="V36" s="124"/>
      <c r="W36" s="124"/>
      <c r="X36" s="120"/>
      <c r="Y36" s="124"/>
      <c r="Z36" s="120"/>
      <c r="AA36" s="124">
        <f>56880+113760-4</f>
        <v>170636</v>
      </c>
      <c r="AB36" s="124"/>
      <c r="AC36" s="124"/>
      <c r="AD36" s="2"/>
    </row>
    <row r="37" spans="2:33" s="114" customFormat="1" ht="15.75" x14ac:dyDescent="0.25">
      <c r="F37" s="126"/>
      <c r="G37" s="127"/>
      <c r="I37" s="128">
        <f>SUM(I27:I36)</f>
        <v>0</v>
      </c>
      <c r="L37" s="126"/>
      <c r="M37" s="127"/>
      <c r="O37" s="128">
        <f>SUM(O27:O36)</f>
        <v>231191</v>
      </c>
      <c r="P37" s="116"/>
      <c r="Q37" s="116"/>
      <c r="R37" s="116"/>
      <c r="S37" s="116"/>
      <c r="T37" s="116"/>
      <c r="U37" s="128">
        <f>SUM(U27:U36)</f>
        <v>97097</v>
      </c>
      <c r="V37" s="116"/>
      <c r="W37" s="116"/>
      <c r="X37" s="123"/>
      <c r="Y37" s="116"/>
      <c r="Z37" s="123"/>
      <c r="AA37" s="128">
        <f>SUM(AA27:AA36)</f>
        <v>436166</v>
      </c>
      <c r="AB37" s="129"/>
      <c r="AC37" s="125">
        <f>+I37+U37+AA37+O37</f>
        <v>764454</v>
      </c>
    </row>
    <row r="38" spans="2:33" x14ac:dyDescent="0.25">
      <c r="B38" s="2"/>
      <c r="C38" s="2"/>
      <c r="D38" s="2"/>
      <c r="E38" s="70"/>
      <c r="F38" s="2"/>
      <c r="G38" s="2"/>
      <c r="H38" s="2"/>
      <c r="I38" s="2"/>
      <c r="J38" s="2"/>
      <c r="K38" s="70"/>
      <c r="L38" s="2"/>
      <c r="M38" s="2"/>
      <c r="N38" s="2"/>
      <c r="O38" s="2"/>
      <c r="X38" s="70"/>
      <c r="AA38" s="2"/>
      <c r="AB38" s="130"/>
      <c r="AC38" s="131">
        <f>AC37-AC24</f>
        <v>0</v>
      </c>
    </row>
    <row r="39" spans="2:33" x14ac:dyDescent="0.25">
      <c r="B39" s="2"/>
      <c r="C39" s="2"/>
      <c r="D39" s="2"/>
      <c r="E39" s="70"/>
      <c r="F39" s="2"/>
      <c r="G39" s="2"/>
      <c r="H39" s="2"/>
      <c r="I39" s="129"/>
      <c r="J39" s="2"/>
      <c r="K39" s="70"/>
      <c r="L39" s="2"/>
      <c r="M39" s="2"/>
      <c r="N39" s="2"/>
      <c r="O39" s="129"/>
      <c r="P39" s="2" t="s">
        <v>38</v>
      </c>
      <c r="U39" s="129"/>
      <c r="X39" s="70"/>
      <c r="AA39" s="2"/>
      <c r="AB39" s="130"/>
      <c r="AC39" s="131"/>
    </row>
    <row r="40" spans="2:33" x14ac:dyDescent="0.25">
      <c r="E40" s="110"/>
      <c r="Q40" s="133"/>
      <c r="Y40" s="1"/>
      <c r="Z40" s="1"/>
    </row>
    <row r="41" spans="2:33" x14ac:dyDescent="0.25">
      <c r="S41" s="129"/>
      <c r="T41" s="129"/>
      <c r="U41" s="129"/>
      <c r="W41" s="130"/>
    </row>
  </sheetData>
  <mergeCells count="11">
    <mergeCell ref="B6:B7"/>
    <mergeCell ref="C6:C7"/>
    <mergeCell ref="D6:I6"/>
    <mergeCell ref="J6:O6"/>
    <mergeCell ref="P6:U6"/>
    <mergeCell ref="AB6:AB7"/>
    <mergeCell ref="AC6:AC7"/>
    <mergeCell ref="AE6:AE7"/>
    <mergeCell ref="Q3:T3"/>
    <mergeCell ref="C4:D4"/>
    <mergeCell ref="V6:AA6"/>
  </mergeCells>
  <pageMargins left="0.39370078740157483" right="0.39370078740157483" top="0.19685039370078741" bottom="0.19685039370078741" header="0" footer="0"/>
  <pageSetup paperSize="9" scale="60" orientation="landscape" horizontalDpi="0" verticalDpi="0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9">
    <pageSetUpPr fitToPage="1"/>
  </sheetPr>
  <dimension ref="A1:AO41"/>
  <sheetViews>
    <sheetView topLeftCell="A18" workbookViewId="0">
      <pane xSplit="3" topLeftCell="T1" activePane="topRight" state="frozen"/>
      <selection activeCell="C22" sqref="C21:C22"/>
      <selection pane="topRight" activeCell="B2" sqref="B2:AE40"/>
    </sheetView>
  </sheetViews>
  <sheetFormatPr baseColWidth="10" defaultRowHeight="15" x14ac:dyDescent="0.25"/>
  <cols>
    <col min="1" max="1" width="1.7109375" style="1" customWidth="1"/>
    <col min="2" max="2" width="10" style="1" customWidth="1"/>
    <col min="3" max="3" width="29.140625" style="1" customWidth="1"/>
    <col min="4" max="4" width="5.7109375" style="1" hidden="1" customWidth="1"/>
    <col min="5" max="5" width="10.7109375" style="1" hidden="1" customWidth="1"/>
    <col min="6" max="6" width="5.7109375" style="1" hidden="1" customWidth="1"/>
    <col min="7" max="7" width="10.7109375" style="1" hidden="1" customWidth="1"/>
    <col min="8" max="8" width="5.7109375" style="1" hidden="1" customWidth="1"/>
    <col min="9" max="9" width="10.7109375" style="1" hidden="1" customWidth="1"/>
    <col min="10" max="10" width="5.7109375" style="1" customWidth="1"/>
    <col min="11" max="11" width="10.7109375" style="1" customWidth="1"/>
    <col min="12" max="12" width="5.7109375" style="1" customWidth="1"/>
    <col min="13" max="13" width="10.7109375" style="1" customWidth="1"/>
    <col min="14" max="14" width="5.7109375" style="1" customWidth="1"/>
    <col min="15" max="15" width="10.7109375" style="1" customWidth="1"/>
    <col min="16" max="16" width="5.7109375" style="2" customWidth="1"/>
    <col min="17" max="17" width="10.7109375" style="2" customWidth="1"/>
    <col min="18" max="18" width="5.7109375" style="2" customWidth="1"/>
    <col min="19" max="19" width="10.7109375" style="2" customWidth="1"/>
    <col min="20" max="20" width="5.7109375" style="2" customWidth="1"/>
    <col min="21" max="21" width="10.7109375" style="2" customWidth="1"/>
    <col min="22" max="22" width="5.7109375" style="2" customWidth="1"/>
    <col min="23" max="23" width="10.7109375" style="2" customWidth="1"/>
    <col min="24" max="24" width="5.7109375" style="2" customWidth="1"/>
    <col min="25" max="25" width="10.7109375" style="2" customWidth="1"/>
    <col min="26" max="26" width="5.7109375" style="2" customWidth="1"/>
    <col min="27" max="27" width="10.7109375" style="1" customWidth="1"/>
    <col min="28" max="28" width="9.5703125" style="1" customWidth="1"/>
    <col min="29" max="29" width="14.5703125" style="1" bestFit="1" customWidth="1"/>
    <col min="30" max="30" width="3.28515625" style="1" customWidth="1"/>
    <col min="31" max="31" width="11.42578125" style="1"/>
    <col min="32" max="32" width="3.7109375" style="1" customWidth="1"/>
    <col min="33" max="33" width="10.140625" style="1" customWidth="1"/>
    <col min="34" max="34" width="3.7109375" style="1" customWidth="1"/>
    <col min="35" max="35" width="11.42578125" style="1"/>
    <col min="36" max="36" width="3.7109375" style="1" customWidth="1"/>
    <col min="37" max="37" width="5.7109375" style="1" customWidth="1"/>
    <col min="38" max="38" width="3.7109375" style="1" customWidth="1"/>
    <col min="39" max="39" width="5.7109375" style="1" customWidth="1"/>
    <col min="40" max="40" width="3.7109375" style="1" customWidth="1"/>
    <col min="41" max="41" width="5.7109375" style="1" customWidth="1"/>
    <col min="42" max="16384" width="11.42578125" style="1"/>
  </cols>
  <sheetData>
    <row r="1" spans="1:39" ht="5.25" customHeight="1" x14ac:dyDescent="0.25">
      <c r="Y1" s="1"/>
      <c r="Z1" s="1"/>
    </row>
    <row r="2" spans="1:39" ht="21" x14ac:dyDescent="0.35">
      <c r="B2" s="3" t="s">
        <v>0</v>
      </c>
      <c r="P2" s="1"/>
      <c r="Q2" s="4"/>
      <c r="Z2" s="1"/>
    </row>
    <row r="3" spans="1:39" ht="15" customHeight="1" x14ac:dyDescent="0.25">
      <c r="A3" s="5"/>
      <c r="B3" s="6" t="s">
        <v>1</v>
      </c>
      <c r="C3" s="7"/>
      <c r="D3" s="7"/>
      <c r="E3" s="7"/>
      <c r="F3" s="7"/>
      <c r="P3" s="1"/>
      <c r="Q3" s="353"/>
      <c r="R3" s="353"/>
      <c r="S3" s="353"/>
      <c r="T3" s="353"/>
      <c r="U3" s="252"/>
      <c r="V3" s="252"/>
      <c r="Z3" s="1"/>
    </row>
    <row r="4" spans="1:39" ht="18" customHeight="1" x14ac:dyDescent="0.25">
      <c r="B4" s="253" t="s">
        <v>2</v>
      </c>
      <c r="C4" s="354" t="s">
        <v>66</v>
      </c>
      <c r="D4" s="355"/>
      <c r="E4" s="253"/>
      <c r="F4" s="253"/>
      <c r="P4" s="1"/>
      <c r="Q4" s="9"/>
      <c r="R4" s="10"/>
      <c r="S4" s="9"/>
      <c r="T4" s="9"/>
      <c r="U4" s="9"/>
      <c r="V4" s="9"/>
      <c r="Z4" s="1"/>
    </row>
    <row r="5" spans="1:39" ht="15.75" thickBot="1" x14ac:dyDescent="0.3">
      <c r="A5" s="253"/>
      <c r="B5" s="253"/>
      <c r="C5" s="253"/>
      <c r="D5" s="253"/>
      <c r="E5" s="253"/>
      <c r="J5" s="253"/>
      <c r="K5" s="253"/>
      <c r="P5" s="1"/>
      <c r="Q5" s="1"/>
      <c r="R5" s="1"/>
      <c r="S5" s="1"/>
      <c r="T5" s="1"/>
      <c r="U5" s="1"/>
      <c r="V5" s="9"/>
      <c r="W5" s="9"/>
      <c r="X5" s="9"/>
      <c r="Y5" s="9"/>
      <c r="Z5" s="9"/>
      <c r="AA5" s="9"/>
      <c r="AB5" s="2"/>
      <c r="AC5" s="2"/>
      <c r="AD5" s="2"/>
    </row>
    <row r="6" spans="1:39" ht="27.75" customHeight="1" thickBot="1" x14ac:dyDescent="0.3">
      <c r="B6" s="356" t="s">
        <v>3</v>
      </c>
      <c r="C6" s="343" t="s">
        <v>4</v>
      </c>
      <c r="D6" s="358" t="s">
        <v>36</v>
      </c>
      <c r="E6" s="359"/>
      <c r="F6" s="360"/>
      <c r="G6" s="360"/>
      <c r="H6" s="360"/>
      <c r="I6" s="361"/>
      <c r="J6" s="370" t="s">
        <v>54</v>
      </c>
      <c r="K6" s="371"/>
      <c r="L6" s="372"/>
      <c r="M6" s="372"/>
      <c r="N6" s="372"/>
      <c r="O6" s="373"/>
      <c r="P6" s="362" t="s">
        <v>31</v>
      </c>
      <c r="Q6" s="363"/>
      <c r="R6" s="364"/>
      <c r="S6" s="364"/>
      <c r="T6" s="364"/>
      <c r="U6" s="365"/>
      <c r="V6" s="366" t="s">
        <v>43</v>
      </c>
      <c r="W6" s="367"/>
      <c r="X6" s="368"/>
      <c r="Y6" s="368"/>
      <c r="Z6" s="368"/>
      <c r="AA6" s="369"/>
      <c r="AB6" s="349" t="s">
        <v>5</v>
      </c>
      <c r="AC6" s="349" t="s">
        <v>6</v>
      </c>
      <c r="AD6" s="2"/>
      <c r="AE6" s="351" t="s">
        <v>7</v>
      </c>
      <c r="AF6" s="2"/>
    </row>
    <row r="7" spans="1:39" ht="25.5" customHeight="1" thickBot="1" x14ac:dyDescent="0.3">
      <c r="B7" s="357"/>
      <c r="C7" s="344"/>
      <c r="D7" s="11" t="s">
        <v>8</v>
      </c>
      <c r="E7" s="12" t="s">
        <v>9</v>
      </c>
      <c r="F7" s="13" t="s">
        <v>8</v>
      </c>
      <c r="G7" s="14" t="s">
        <v>9</v>
      </c>
      <c r="H7" s="11" t="s">
        <v>5</v>
      </c>
      <c r="I7" s="14" t="s">
        <v>10</v>
      </c>
      <c r="J7" s="190" t="s">
        <v>8</v>
      </c>
      <c r="K7" s="192" t="s">
        <v>9</v>
      </c>
      <c r="L7" s="191" t="s">
        <v>8</v>
      </c>
      <c r="M7" s="192" t="s">
        <v>9</v>
      </c>
      <c r="N7" s="190" t="s">
        <v>5</v>
      </c>
      <c r="O7" s="192" t="s">
        <v>10</v>
      </c>
      <c r="P7" s="15" t="s">
        <v>8</v>
      </c>
      <c r="Q7" s="16" t="s">
        <v>9</v>
      </c>
      <c r="R7" s="17" t="s">
        <v>8</v>
      </c>
      <c r="S7" s="16" t="s">
        <v>9</v>
      </c>
      <c r="T7" s="15" t="s">
        <v>5</v>
      </c>
      <c r="U7" s="16" t="s">
        <v>10</v>
      </c>
      <c r="V7" s="18" t="s">
        <v>8</v>
      </c>
      <c r="W7" s="19" t="s">
        <v>9</v>
      </c>
      <c r="X7" s="20" t="s">
        <v>8</v>
      </c>
      <c r="Y7" s="21" t="s">
        <v>9</v>
      </c>
      <c r="Z7" s="18" t="s">
        <v>5</v>
      </c>
      <c r="AA7" s="21" t="s">
        <v>10</v>
      </c>
      <c r="AB7" s="350"/>
      <c r="AC7" s="350"/>
      <c r="AD7" s="2"/>
      <c r="AE7" s="352"/>
      <c r="AG7" s="22" t="s">
        <v>11</v>
      </c>
      <c r="AI7" s="22" t="s">
        <v>12</v>
      </c>
    </row>
    <row r="8" spans="1:39" x14ac:dyDescent="0.25">
      <c r="B8" s="173">
        <v>6320</v>
      </c>
      <c r="C8" s="157" t="s">
        <v>13</v>
      </c>
      <c r="D8" s="24"/>
      <c r="E8" s="25">
        <f>+D8*B8</f>
        <v>0</v>
      </c>
      <c r="F8" s="26"/>
      <c r="G8" s="27"/>
      <c r="H8" s="28">
        <f>D8+F8</f>
        <v>0</v>
      </c>
      <c r="I8" s="29">
        <f>E8+G8</f>
        <v>0</v>
      </c>
      <c r="J8" s="199"/>
      <c r="K8" s="249">
        <f>+J8*B8</f>
        <v>0</v>
      </c>
      <c r="L8" s="222"/>
      <c r="M8" s="202"/>
      <c r="N8" s="193">
        <f>J8+L8</f>
        <v>0</v>
      </c>
      <c r="O8" s="194">
        <f>K8+M8</f>
        <v>0</v>
      </c>
      <c r="P8" s="30"/>
      <c r="Q8" s="290">
        <f>+P8*B8</f>
        <v>0</v>
      </c>
      <c r="R8" s="32">
        <v>17</v>
      </c>
      <c r="S8" s="33">
        <f>6320*17</f>
        <v>107440</v>
      </c>
      <c r="T8" s="34">
        <f>P8+R8</f>
        <v>17</v>
      </c>
      <c r="U8" s="35">
        <f>Q8+S8</f>
        <v>107440</v>
      </c>
      <c r="V8" s="36"/>
      <c r="W8" s="37">
        <f t="shared" ref="W8:W19" si="0">+V8*B8</f>
        <v>0</v>
      </c>
      <c r="X8" s="38">
        <v>9</v>
      </c>
      <c r="Y8" s="39">
        <f>1896+6320*8</f>
        <v>52456</v>
      </c>
      <c r="Z8" s="40">
        <f>V8+X8</f>
        <v>9</v>
      </c>
      <c r="AA8" s="41">
        <f>Y8+W8</f>
        <v>52456</v>
      </c>
      <c r="AB8" s="152">
        <f>+D8+F8+P8+R8+V8+X8+J8+L8</f>
        <v>26</v>
      </c>
      <c r="AC8" s="220">
        <f>+E8+G8+Q8+S8+W8+Y8+K8+M8</f>
        <v>159896</v>
      </c>
      <c r="AD8" s="44"/>
      <c r="AE8" s="156">
        <v>4424</v>
      </c>
      <c r="AG8" s="187">
        <f>E8+W8+Q8+K8</f>
        <v>0</v>
      </c>
      <c r="AI8" s="156">
        <f>G8+Y8+S8+M8</f>
        <v>159896</v>
      </c>
      <c r="AK8" s="139">
        <f>F8+R8+X8+L8</f>
        <v>26</v>
      </c>
      <c r="AM8" s="139">
        <f>+D8+P8+V8+J8</f>
        <v>0</v>
      </c>
    </row>
    <row r="9" spans="1:39" x14ac:dyDescent="0.25">
      <c r="B9" s="174">
        <v>6320</v>
      </c>
      <c r="C9" s="180" t="s">
        <v>14</v>
      </c>
      <c r="D9" s="47"/>
      <c r="E9" s="48">
        <f t="shared" ref="E9:E19" si="1">+D9*B9</f>
        <v>0</v>
      </c>
      <c r="F9" s="49"/>
      <c r="G9" s="50"/>
      <c r="H9" s="51">
        <f>D9+F9</f>
        <v>0</v>
      </c>
      <c r="I9" s="52">
        <f>G9+E9</f>
        <v>0</v>
      </c>
      <c r="J9" s="203"/>
      <c r="K9" s="248">
        <f t="shared" ref="K9:K19" si="2">+J9*B9</f>
        <v>0</v>
      </c>
      <c r="L9" s="223">
        <v>5</v>
      </c>
      <c r="M9" s="206">
        <f>6320*5</f>
        <v>31600</v>
      </c>
      <c r="N9" s="195">
        <f>J9+L9</f>
        <v>5</v>
      </c>
      <c r="O9" s="196">
        <f>M9+K9</f>
        <v>31600</v>
      </c>
      <c r="P9" s="53"/>
      <c r="Q9" s="31">
        <f t="shared" ref="Q9:Q19" si="3">+P9*B9</f>
        <v>0</v>
      </c>
      <c r="R9" s="55">
        <v>4</v>
      </c>
      <c r="S9" s="56">
        <f>6320*4</f>
        <v>25280</v>
      </c>
      <c r="T9" s="57">
        <f>P9+R9</f>
        <v>4</v>
      </c>
      <c r="U9" s="58">
        <f>S9+Q9</f>
        <v>25280</v>
      </c>
      <c r="V9" s="59"/>
      <c r="W9" s="60">
        <f t="shared" si="0"/>
        <v>0</v>
      </c>
      <c r="X9" s="61"/>
      <c r="Y9" s="62"/>
      <c r="Z9" s="63">
        <f>V9+X9</f>
        <v>0</v>
      </c>
      <c r="AA9" s="41">
        <f>Y9+W9</f>
        <v>0</v>
      </c>
      <c r="AB9" s="152">
        <f t="shared" ref="AB9:AB22" si="4">+D9+F9+P9+R9+V9+X9+J9+L9</f>
        <v>9</v>
      </c>
      <c r="AC9" s="339">
        <f t="shared" ref="AC9:AC22" si="5">+E9+G9+Q9+S9+W9+Y9+K9+M9</f>
        <v>56880</v>
      </c>
      <c r="AD9" s="44"/>
      <c r="AE9" s="64"/>
      <c r="AG9" s="251">
        <f t="shared" ref="AG9:AG22" si="6">E9+W9+Q9+K9</f>
        <v>0</v>
      </c>
      <c r="AI9" s="151">
        <f t="shared" ref="AI9:AI22" si="7">G9+Y9+S9+M9</f>
        <v>56880</v>
      </c>
      <c r="AK9" s="142">
        <f t="shared" ref="AK9:AK22" si="8">F9+R9+X9+L9</f>
        <v>9</v>
      </c>
      <c r="AM9" s="142">
        <f t="shared" ref="AM9:AM22" si="9">+D9+P9+V9+J9</f>
        <v>0</v>
      </c>
    </row>
    <row r="10" spans="1:39" x14ac:dyDescent="0.25">
      <c r="B10" s="174">
        <v>6320</v>
      </c>
      <c r="C10" s="153" t="s">
        <v>16</v>
      </c>
      <c r="D10" s="47"/>
      <c r="E10" s="48">
        <f t="shared" si="1"/>
        <v>0</v>
      </c>
      <c r="F10" s="49"/>
      <c r="G10" s="50"/>
      <c r="H10" s="51">
        <f t="shared" ref="H10:H22" si="10">D10+F10</f>
        <v>0</v>
      </c>
      <c r="I10" s="52">
        <f t="shared" ref="I10:I22" si="11">G10+E10</f>
        <v>0</v>
      </c>
      <c r="J10" s="203"/>
      <c r="K10" s="248">
        <f t="shared" si="2"/>
        <v>0</v>
      </c>
      <c r="L10" s="223">
        <v>2</v>
      </c>
      <c r="M10" s="206">
        <f>6320*2</f>
        <v>12640</v>
      </c>
      <c r="N10" s="195">
        <f t="shared" ref="N10:N22" si="12">J10+L10</f>
        <v>2</v>
      </c>
      <c r="O10" s="196">
        <f t="shared" ref="O10:O22" si="13">M10+K10</f>
        <v>12640</v>
      </c>
      <c r="P10" s="53"/>
      <c r="Q10" s="31">
        <f t="shared" si="3"/>
        <v>0</v>
      </c>
      <c r="R10" s="55">
        <v>7</v>
      </c>
      <c r="S10" s="56">
        <f>6320*6+3160</f>
        <v>41080</v>
      </c>
      <c r="T10" s="57">
        <f t="shared" ref="T10:T22" si="14">P10+R10</f>
        <v>7</v>
      </c>
      <c r="U10" s="58">
        <f t="shared" ref="U10:U22" si="15">S10+Q10</f>
        <v>41080</v>
      </c>
      <c r="V10" s="59"/>
      <c r="W10" s="60">
        <f t="shared" si="0"/>
        <v>0</v>
      </c>
      <c r="X10" s="61"/>
      <c r="Y10" s="62"/>
      <c r="Z10" s="63">
        <f t="shared" ref="Z10:Z22" si="16">V10+X10</f>
        <v>0</v>
      </c>
      <c r="AA10" s="41">
        <f t="shared" ref="AA10:AA22" si="17">Y10+W10</f>
        <v>0</v>
      </c>
      <c r="AB10" s="152">
        <f t="shared" si="4"/>
        <v>9</v>
      </c>
      <c r="AC10" s="220">
        <f t="shared" si="5"/>
        <v>53720</v>
      </c>
      <c r="AD10" s="44"/>
      <c r="AE10" s="151">
        <v>3160</v>
      </c>
      <c r="AG10" s="218">
        <f t="shared" si="6"/>
        <v>0</v>
      </c>
      <c r="AI10" s="151">
        <f t="shared" si="7"/>
        <v>53720</v>
      </c>
      <c r="AK10" s="142">
        <f t="shared" si="8"/>
        <v>9</v>
      </c>
      <c r="AM10" s="142">
        <f t="shared" si="9"/>
        <v>0</v>
      </c>
    </row>
    <row r="11" spans="1:39" x14ac:dyDescent="0.25">
      <c r="B11" s="174">
        <v>6320</v>
      </c>
      <c r="C11" s="153" t="s">
        <v>17</v>
      </c>
      <c r="D11" s="65"/>
      <c r="E11" s="48">
        <f t="shared" si="1"/>
        <v>0</v>
      </c>
      <c r="F11" s="49"/>
      <c r="G11" s="50"/>
      <c r="H11" s="51">
        <f t="shared" si="10"/>
        <v>0</v>
      </c>
      <c r="I11" s="52">
        <f t="shared" si="11"/>
        <v>0</v>
      </c>
      <c r="J11" s="207"/>
      <c r="K11" s="248">
        <f t="shared" si="2"/>
        <v>0</v>
      </c>
      <c r="L11" s="223">
        <v>7</v>
      </c>
      <c r="M11" s="206">
        <f>6320*6+3160</f>
        <v>41080</v>
      </c>
      <c r="N11" s="195">
        <f t="shared" si="12"/>
        <v>7</v>
      </c>
      <c r="O11" s="196">
        <f t="shared" si="13"/>
        <v>41080</v>
      </c>
      <c r="P11" s="66">
        <v>1</v>
      </c>
      <c r="Q11" s="31">
        <f t="shared" si="3"/>
        <v>6320</v>
      </c>
      <c r="R11" s="67">
        <v>4</v>
      </c>
      <c r="S11" s="56">
        <f>1264+1896+6320*2</f>
        <v>15800</v>
      </c>
      <c r="T11" s="57">
        <f t="shared" si="14"/>
        <v>5</v>
      </c>
      <c r="U11" s="58">
        <f t="shared" si="15"/>
        <v>22120</v>
      </c>
      <c r="V11" s="68"/>
      <c r="W11" s="60">
        <f t="shared" si="0"/>
        <v>0</v>
      </c>
      <c r="X11" s="69">
        <v>2</v>
      </c>
      <c r="Y11" s="62">
        <f>6320*2</f>
        <v>12640</v>
      </c>
      <c r="Z11" s="63">
        <f t="shared" si="16"/>
        <v>2</v>
      </c>
      <c r="AA11" s="41">
        <f t="shared" si="17"/>
        <v>12640</v>
      </c>
      <c r="AB11" s="152">
        <f t="shared" si="4"/>
        <v>14</v>
      </c>
      <c r="AC11" s="220">
        <f t="shared" si="5"/>
        <v>75840</v>
      </c>
      <c r="AD11" s="70"/>
      <c r="AE11" s="151">
        <f>5056+4424+3160</f>
        <v>12640</v>
      </c>
      <c r="AG11" s="221">
        <f t="shared" si="6"/>
        <v>6320</v>
      </c>
      <c r="AI11" s="151">
        <f t="shared" si="7"/>
        <v>69520</v>
      </c>
      <c r="AK11" s="142">
        <f t="shared" si="8"/>
        <v>13</v>
      </c>
      <c r="AM11" s="142">
        <f t="shared" si="9"/>
        <v>1</v>
      </c>
    </row>
    <row r="12" spans="1:39" x14ac:dyDescent="0.25">
      <c r="B12" s="174">
        <v>6320</v>
      </c>
      <c r="C12" s="46" t="s">
        <v>18</v>
      </c>
      <c r="D12" s="65"/>
      <c r="E12" s="48">
        <f t="shared" si="1"/>
        <v>0</v>
      </c>
      <c r="F12" s="49"/>
      <c r="G12" s="50"/>
      <c r="H12" s="51">
        <f t="shared" si="10"/>
        <v>0</v>
      </c>
      <c r="I12" s="52">
        <f t="shared" si="11"/>
        <v>0</v>
      </c>
      <c r="J12" s="207"/>
      <c r="K12" s="248">
        <f t="shared" si="2"/>
        <v>0</v>
      </c>
      <c r="L12" s="223"/>
      <c r="M12" s="206"/>
      <c r="N12" s="195">
        <f t="shared" si="12"/>
        <v>0</v>
      </c>
      <c r="O12" s="196">
        <f t="shared" si="13"/>
        <v>0</v>
      </c>
      <c r="P12" s="66"/>
      <c r="Q12" s="31">
        <f t="shared" si="3"/>
        <v>0</v>
      </c>
      <c r="R12" s="67"/>
      <c r="S12" s="56"/>
      <c r="T12" s="57">
        <f t="shared" si="14"/>
        <v>0</v>
      </c>
      <c r="U12" s="58">
        <f t="shared" si="15"/>
        <v>0</v>
      </c>
      <c r="V12" s="68"/>
      <c r="W12" s="60">
        <f t="shared" si="0"/>
        <v>0</v>
      </c>
      <c r="X12" s="69"/>
      <c r="Y12" s="62"/>
      <c r="Z12" s="63">
        <f t="shared" si="16"/>
        <v>0</v>
      </c>
      <c r="AA12" s="41">
        <f t="shared" si="17"/>
        <v>0</v>
      </c>
      <c r="AB12" s="42">
        <f t="shared" si="4"/>
        <v>0</v>
      </c>
      <c r="AC12" s="188">
        <f t="shared" si="5"/>
        <v>0</v>
      </c>
      <c r="AD12" s="71"/>
      <c r="AE12" s="64"/>
      <c r="AG12" s="218">
        <f t="shared" si="6"/>
        <v>0</v>
      </c>
      <c r="AI12" s="64">
        <f t="shared" si="7"/>
        <v>0</v>
      </c>
      <c r="AK12" s="142">
        <f t="shared" si="8"/>
        <v>0</v>
      </c>
      <c r="AM12" s="142">
        <f t="shared" si="9"/>
        <v>0</v>
      </c>
    </row>
    <row r="13" spans="1:39" x14ac:dyDescent="0.25">
      <c r="B13" s="174">
        <v>6320</v>
      </c>
      <c r="C13" s="46" t="s">
        <v>19</v>
      </c>
      <c r="D13" s="65"/>
      <c r="E13" s="48">
        <f t="shared" si="1"/>
        <v>0</v>
      </c>
      <c r="F13" s="49"/>
      <c r="G13" s="50"/>
      <c r="H13" s="51">
        <f t="shared" si="10"/>
        <v>0</v>
      </c>
      <c r="I13" s="52">
        <f t="shared" si="11"/>
        <v>0</v>
      </c>
      <c r="J13" s="207"/>
      <c r="K13" s="248">
        <f t="shared" si="2"/>
        <v>0</v>
      </c>
      <c r="L13" s="223"/>
      <c r="M13" s="206"/>
      <c r="N13" s="195">
        <f t="shared" si="12"/>
        <v>0</v>
      </c>
      <c r="O13" s="196">
        <f t="shared" si="13"/>
        <v>0</v>
      </c>
      <c r="P13" s="66"/>
      <c r="Q13" s="31">
        <f t="shared" si="3"/>
        <v>0</v>
      </c>
      <c r="R13" s="67"/>
      <c r="S13" s="56"/>
      <c r="T13" s="57">
        <f t="shared" si="14"/>
        <v>0</v>
      </c>
      <c r="U13" s="58">
        <f t="shared" si="15"/>
        <v>0</v>
      </c>
      <c r="V13" s="68"/>
      <c r="W13" s="60">
        <f t="shared" si="0"/>
        <v>0</v>
      </c>
      <c r="X13" s="69"/>
      <c r="Y13" s="62"/>
      <c r="Z13" s="63">
        <f t="shared" si="16"/>
        <v>0</v>
      </c>
      <c r="AA13" s="41">
        <f t="shared" si="17"/>
        <v>0</v>
      </c>
      <c r="AB13" s="42">
        <f t="shared" si="4"/>
        <v>0</v>
      </c>
      <c r="AC13" s="188">
        <f t="shared" si="5"/>
        <v>0</v>
      </c>
      <c r="AD13" s="70"/>
      <c r="AE13" s="64"/>
      <c r="AG13" s="218">
        <f t="shared" si="6"/>
        <v>0</v>
      </c>
      <c r="AI13" s="64">
        <f t="shared" si="7"/>
        <v>0</v>
      </c>
      <c r="AK13" s="142">
        <f t="shared" si="8"/>
        <v>0</v>
      </c>
      <c r="AM13" s="142">
        <f t="shared" si="9"/>
        <v>0</v>
      </c>
    </row>
    <row r="14" spans="1:39" x14ac:dyDescent="0.25">
      <c r="B14" s="174">
        <v>6320</v>
      </c>
      <c r="C14" s="46" t="s">
        <v>20</v>
      </c>
      <c r="D14" s="65"/>
      <c r="E14" s="48">
        <f t="shared" si="1"/>
        <v>0</v>
      </c>
      <c r="F14" s="49"/>
      <c r="G14" s="50"/>
      <c r="H14" s="51">
        <f t="shared" si="10"/>
        <v>0</v>
      </c>
      <c r="I14" s="52">
        <f t="shared" si="11"/>
        <v>0</v>
      </c>
      <c r="J14" s="207"/>
      <c r="K14" s="248">
        <f t="shared" si="2"/>
        <v>0</v>
      </c>
      <c r="L14" s="223"/>
      <c r="M14" s="206"/>
      <c r="N14" s="195">
        <f t="shared" si="12"/>
        <v>0</v>
      </c>
      <c r="O14" s="196">
        <f t="shared" si="13"/>
        <v>0</v>
      </c>
      <c r="P14" s="66"/>
      <c r="Q14" s="31">
        <f t="shared" si="3"/>
        <v>0</v>
      </c>
      <c r="R14" s="67"/>
      <c r="S14" s="56"/>
      <c r="T14" s="57">
        <f t="shared" si="14"/>
        <v>0</v>
      </c>
      <c r="U14" s="58">
        <f t="shared" si="15"/>
        <v>0</v>
      </c>
      <c r="V14" s="68"/>
      <c r="W14" s="60">
        <f t="shared" si="0"/>
        <v>0</v>
      </c>
      <c r="X14" s="69"/>
      <c r="Y14" s="62"/>
      <c r="Z14" s="63">
        <f t="shared" si="16"/>
        <v>0</v>
      </c>
      <c r="AA14" s="41">
        <f t="shared" si="17"/>
        <v>0</v>
      </c>
      <c r="AB14" s="42">
        <f t="shared" si="4"/>
        <v>0</v>
      </c>
      <c r="AC14" s="188">
        <f t="shared" si="5"/>
        <v>0</v>
      </c>
      <c r="AD14" s="70"/>
      <c r="AE14" s="64"/>
      <c r="AG14" s="218">
        <f t="shared" si="6"/>
        <v>0</v>
      </c>
      <c r="AI14" s="64">
        <f t="shared" si="7"/>
        <v>0</v>
      </c>
      <c r="AK14" s="142">
        <f t="shared" si="8"/>
        <v>0</v>
      </c>
      <c r="AM14" s="142">
        <f t="shared" si="9"/>
        <v>0</v>
      </c>
    </row>
    <row r="15" spans="1:39" x14ac:dyDescent="0.25">
      <c r="B15" s="174">
        <v>6320</v>
      </c>
      <c r="C15" s="46" t="s">
        <v>21</v>
      </c>
      <c r="D15" s="65"/>
      <c r="E15" s="48">
        <f t="shared" si="1"/>
        <v>0</v>
      </c>
      <c r="F15" s="49"/>
      <c r="G15" s="50"/>
      <c r="H15" s="51">
        <f t="shared" si="10"/>
        <v>0</v>
      </c>
      <c r="I15" s="52">
        <f t="shared" si="11"/>
        <v>0</v>
      </c>
      <c r="J15" s="207"/>
      <c r="K15" s="248">
        <f t="shared" si="2"/>
        <v>0</v>
      </c>
      <c r="L15" s="223"/>
      <c r="M15" s="206"/>
      <c r="N15" s="195">
        <f t="shared" si="12"/>
        <v>0</v>
      </c>
      <c r="O15" s="196">
        <f t="shared" si="13"/>
        <v>0</v>
      </c>
      <c r="P15" s="66"/>
      <c r="Q15" s="31">
        <f t="shared" si="3"/>
        <v>0</v>
      </c>
      <c r="R15" s="67"/>
      <c r="S15" s="56"/>
      <c r="T15" s="57">
        <f t="shared" si="14"/>
        <v>0</v>
      </c>
      <c r="U15" s="58">
        <f t="shared" si="15"/>
        <v>0</v>
      </c>
      <c r="V15" s="68"/>
      <c r="W15" s="60">
        <f t="shared" si="0"/>
        <v>0</v>
      </c>
      <c r="X15" s="69"/>
      <c r="Y15" s="62"/>
      <c r="Z15" s="63">
        <f t="shared" si="16"/>
        <v>0</v>
      </c>
      <c r="AA15" s="41">
        <f t="shared" si="17"/>
        <v>0</v>
      </c>
      <c r="AB15" s="42">
        <f t="shared" si="4"/>
        <v>0</v>
      </c>
      <c r="AC15" s="188">
        <f t="shared" si="5"/>
        <v>0</v>
      </c>
      <c r="AD15" s="70"/>
      <c r="AE15" s="64"/>
      <c r="AG15" s="218">
        <f t="shared" si="6"/>
        <v>0</v>
      </c>
      <c r="AI15" s="64">
        <f t="shared" si="7"/>
        <v>0</v>
      </c>
      <c r="AK15" s="142">
        <f t="shared" si="8"/>
        <v>0</v>
      </c>
      <c r="AM15" s="142">
        <f t="shared" si="9"/>
        <v>0</v>
      </c>
    </row>
    <row r="16" spans="1:39" x14ac:dyDescent="0.25">
      <c r="B16" s="174" t="s">
        <v>26</v>
      </c>
      <c r="C16" s="46" t="s">
        <v>33</v>
      </c>
      <c r="D16" s="65"/>
      <c r="E16" s="48">
        <v>0</v>
      </c>
      <c r="F16" s="49"/>
      <c r="G16" s="50"/>
      <c r="H16" s="51">
        <f t="shared" si="10"/>
        <v>0</v>
      </c>
      <c r="I16" s="52">
        <f t="shared" si="11"/>
        <v>0</v>
      </c>
      <c r="J16" s="207"/>
      <c r="K16" s="248">
        <v>0</v>
      </c>
      <c r="L16" s="223"/>
      <c r="M16" s="206"/>
      <c r="N16" s="195">
        <f t="shared" si="12"/>
        <v>0</v>
      </c>
      <c r="O16" s="196">
        <f t="shared" si="13"/>
        <v>0</v>
      </c>
      <c r="P16" s="66"/>
      <c r="Q16" s="31">
        <v>0</v>
      </c>
      <c r="R16" s="67"/>
      <c r="S16" s="56"/>
      <c r="T16" s="57">
        <f t="shared" si="14"/>
        <v>0</v>
      </c>
      <c r="U16" s="58">
        <v>0</v>
      </c>
      <c r="V16" s="68"/>
      <c r="W16" s="60">
        <v>0</v>
      </c>
      <c r="X16" s="69"/>
      <c r="Y16" s="62"/>
      <c r="Z16" s="63">
        <f>+X16+V16</f>
        <v>0</v>
      </c>
      <c r="AA16" s="41">
        <f>+Y16+W16</f>
        <v>0</v>
      </c>
      <c r="AB16" s="42">
        <f t="shared" si="4"/>
        <v>0</v>
      </c>
      <c r="AC16" s="188">
        <f t="shared" si="5"/>
        <v>0</v>
      </c>
      <c r="AD16" s="70"/>
      <c r="AE16" s="64"/>
      <c r="AG16" s="218">
        <f t="shared" si="6"/>
        <v>0</v>
      </c>
      <c r="AI16" s="64">
        <f t="shared" si="7"/>
        <v>0</v>
      </c>
      <c r="AK16" s="142">
        <f t="shared" si="8"/>
        <v>0</v>
      </c>
      <c r="AM16" s="142">
        <f t="shared" si="9"/>
        <v>0</v>
      </c>
    </row>
    <row r="17" spans="2:41" x14ac:dyDescent="0.25">
      <c r="B17" s="175">
        <v>14010</v>
      </c>
      <c r="C17" s="46" t="s">
        <v>23</v>
      </c>
      <c r="D17" s="65"/>
      <c r="E17" s="48">
        <f t="shared" si="1"/>
        <v>0</v>
      </c>
      <c r="F17" s="49"/>
      <c r="G17" s="50"/>
      <c r="H17" s="51">
        <f t="shared" si="10"/>
        <v>0</v>
      </c>
      <c r="I17" s="52">
        <f t="shared" si="11"/>
        <v>0</v>
      </c>
      <c r="J17" s="207"/>
      <c r="K17" s="248">
        <f t="shared" si="2"/>
        <v>0</v>
      </c>
      <c r="L17" s="223"/>
      <c r="M17" s="206"/>
      <c r="N17" s="195">
        <f t="shared" si="12"/>
        <v>0</v>
      </c>
      <c r="O17" s="196">
        <f t="shared" si="13"/>
        <v>0</v>
      </c>
      <c r="P17" s="66"/>
      <c r="Q17" s="31">
        <f t="shared" si="3"/>
        <v>0</v>
      </c>
      <c r="R17" s="67"/>
      <c r="S17" s="56"/>
      <c r="T17" s="57">
        <f t="shared" si="14"/>
        <v>0</v>
      </c>
      <c r="U17" s="58">
        <f t="shared" si="15"/>
        <v>0</v>
      </c>
      <c r="V17" s="68"/>
      <c r="W17" s="60">
        <f t="shared" si="0"/>
        <v>0</v>
      </c>
      <c r="X17" s="69"/>
      <c r="Y17" s="62"/>
      <c r="Z17" s="63">
        <f t="shared" si="16"/>
        <v>0</v>
      </c>
      <c r="AA17" s="41">
        <f t="shared" si="17"/>
        <v>0</v>
      </c>
      <c r="AB17" s="42">
        <f t="shared" si="4"/>
        <v>0</v>
      </c>
      <c r="AC17" s="188">
        <f t="shared" si="5"/>
        <v>0</v>
      </c>
      <c r="AD17" s="70"/>
      <c r="AE17" s="64"/>
      <c r="AG17" s="218">
        <f t="shared" si="6"/>
        <v>0</v>
      </c>
      <c r="AI17" s="64">
        <f t="shared" si="7"/>
        <v>0</v>
      </c>
      <c r="AK17" s="142">
        <f t="shared" si="8"/>
        <v>0</v>
      </c>
      <c r="AM17" s="142">
        <f t="shared" si="9"/>
        <v>0</v>
      </c>
    </row>
    <row r="18" spans="2:41" x14ac:dyDescent="0.25">
      <c r="B18" s="174">
        <v>11870</v>
      </c>
      <c r="C18" s="46" t="s">
        <v>24</v>
      </c>
      <c r="D18" s="65"/>
      <c r="E18" s="48">
        <f t="shared" si="1"/>
        <v>0</v>
      </c>
      <c r="F18" s="49"/>
      <c r="G18" s="50"/>
      <c r="H18" s="51">
        <f t="shared" si="10"/>
        <v>0</v>
      </c>
      <c r="I18" s="52">
        <f t="shared" si="11"/>
        <v>0</v>
      </c>
      <c r="J18" s="207"/>
      <c r="K18" s="248">
        <f t="shared" si="2"/>
        <v>0</v>
      </c>
      <c r="L18" s="223"/>
      <c r="M18" s="206"/>
      <c r="N18" s="195">
        <f t="shared" si="12"/>
        <v>0</v>
      </c>
      <c r="O18" s="196">
        <f t="shared" si="13"/>
        <v>0</v>
      </c>
      <c r="P18" s="66"/>
      <c r="Q18" s="31">
        <f t="shared" si="3"/>
        <v>0</v>
      </c>
      <c r="R18" s="67"/>
      <c r="S18" s="56"/>
      <c r="T18" s="57">
        <f t="shared" si="14"/>
        <v>0</v>
      </c>
      <c r="U18" s="58">
        <f t="shared" si="15"/>
        <v>0</v>
      </c>
      <c r="V18" s="68"/>
      <c r="W18" s="60">
        <f t="shared" si="0"/>
        <v>0</v>
      </c>
      <c r="X18" s="69"/>
      <c r="Y18" s="62"/>
      <c r="Z18" s="63">
        <f t="shared" si="16"/>
        <v>0</v>
      </c>
      <c r="AA18" s="41">
        <f t="shared" si="17"/>
        <v>0</v>
      </c>
      <c r="AB18" s="42">
        <f t="shared" si="4"/>
        <v>0</v>
      </c>
      <c r="AC18" s="188">
        <f t="shared" si="5"/>
        <v>0</v>
      </c>
      <c r="AD18" s="70"/>
      <c r="AE18" s="64"/>
      <c r="AG18" s="218">
        <f t="shared" si="6"/>
        <v>0</v>
      </c>
      <c r="AI18" s="64">
        <f t="shared" si="7"/>
        <v>0</v>
      </c>
      <c r="AK18" s="142">
        <f t="shared" si="8"/>
        <v>0</v>
      </c>
      <c r="AM18" s="142">
        <f t="shared" si="9"/>
        <v>0</v>
      </c>
    </row>
    <row r="19" spans="2:41" x14ac:dyDescent="0.25">
      <c r="B19" s="174">
        <v>6710</v>
      </c>
      <c r="C19" s="46" t="s">
        <v>0</v>
      </c>
      <c r="D19" s="65"/>
      <c r="E19" s="48">
        <f t="shared" si="1"/>
        <v>0</v>
      </c>
      <c r="F19" s="72"/>
      <c r="G19" s="50"/>
      <c r="H19" s="51">
        <f t="shared" si="10"/>
        <v>0</v>
      </c>
      <c r="I19" s="52">
        <f t="shared" si="11"/>
        <v>0</v>
      </c>
      <c r="J19" s="207"/>
      <c r="K19" s="248">
        <f t="shared" si="2"/>
        <v>0</v>
      </c>
      <c r="L19" s="224"/>
      <c r="M19" s="206"/>
      <c r="N19" s="195">
        <f t="shared" si="12"/>
        <v>0</v>
      </c>
      <c r="O19" s="196">
        <f t="shared" si="13"/>
        <v>0</v>
      </c>
      <c r="P19" s="66"/>
      <c r="Q19" s="31">
        <f t="shared" si="3"/>
        <v>0</v>
      </c>
      <c r="R19" s="73"/>
      <c r="S19" s="56"/>
      <c r="T19" s="57">
        <f t="shared" si="14"/>
        <v>0</v>
      </c>
      <c r="U19" s="58">
        <f t="shared" si="15"/>
        <v>0</v>
      </c>
      <c r="V19" s="68"/>
      <c r="W19" s="60">
        <f t="shared" si="0"/>
        <v>0</v>
      </c>
      <c r="X19" s="74"/>
      <c r="Y19" s="62"/>
      <c r="Z19" s="63">
        <f t="shared" si="16"/>
        <v>0</v>
      </c>
      <c r="AA19" s="41">
        <f t="shared" si="17"/>
        <v>0</v>
      </c>
      <c r="AB19" s="42">
        <f t="shared" si="4"/>
        <v>0</v>
      </c>
      <c r="AC19" s="188">
        <f t="shared" si="5"/>
        <v>0</v>
      </c>
      <c r="AD19" s="70"/>
      <c r="AE19" s="64"/>
      <c r="AF19" s="1" t="s">
        <v>25</v>
      </c>
      <c r="AG19" s="218">
        <f t="shared" si="6"/>
        <v>0</v>
      </c>
      <c r="AI19" s="64">
        <f t="shared" si="7"/>
        <v>0</v>
      </c>
      <c r="AK19" s="142">
        <f t="shared" si="8"/>
        <v>0</v>
      </c>
      <c r="AM19" s="142">
        <f t="shared" si="9"/>
        <v>0</v>
      </c>
    </row>
    <row r="20" spans="2:41" x14ac:dyDescent="0.25">
      <c r="B20" s="174" t="s">
        <v>26</v>
      </c>
      <c r="C20" s="46" t="s">
        <v>0</v>
      </c>
      <c r="D20" s="65"/>
      <c r="E20" s="48">
        <v>0</v>
      </c>
      <c r="F20" s="49"/>
      <c r="G20" s="50"/>
      <c r="H20" s="51">
        <f t="shared" si="10"/>
        <v>0</v>
      </c>
      <c r="I20" s="52">
        <f t="shared" si="11"/>
        <v>0</v>
      </c>
      <c r="J20" s="207"/>
      <c r="K20" s="248">
        <v>0</v>
      </c>
      <c r="L20" s="223"/>
      <c r="M20" s="206"/>
      <c r="N20" s="195">
        <f t="shared" si="12"/>
        <v>0</v>
      </c>
      <c r="O20" s="196">
        <f t="shared" si="13"/>
        <v>0</v>
      </c>
      <c r="P20" s="66"/>
      <c r="Q20" s="31">
        <v>0</v>
      </c>
      <c r="R20" s="67"/>
      <c r="S20" s="56"/>
      <c r="T20" s="57">
        <f t="shared" si="14"/>
        <v>0</v>
      </c>
      <c r="U20" s="58">
        <f t="shared" si="15"/>
        <v>0</v>
      </c>
      <c r="V20" s="68"/>
      <c r="W20" s="60">
        <v>0</v>
      </c>
      <c r="X20" s="69"/>
      <c r="Y20" s="62"/>
      <c r="Z20" s="63">
        <f t="shared" si="16"/>
        <v>0</v>
      </c>
      <c r="AA20" s="41">
        <f t="shared" si="17"/>
        <v>0</v>
      </c>
      <c r="AB20" s="42">
        <f t="shared" si="4"/>
        <v>0</v>
      </c>
      <c r="AC20" s="188">
        <f t="shared" si="5"/>
        <v>0</v>
      </c>
      <c r="AD20" s="70"/>
      <c r="AE20" s="64"/>
      <c r="AG20" s="218">
        <f t="shared" si="6"/>
        <v>0</v>
      </c>
      <c r="AI20" s="64">
        <f t="shared" si="7"/>
        <v>0</v>
      </c>
      <c r="AK20" s="142">
        <f t="shared" si="8"/>
        <v>0</v>
      </c>
      <c r="AM20" s="142">
        <f t="shared" si="9"/>
        <v>0</v>
      </c>
    </row>
    <row r="21" spans="2:41" x14ac:dyDescent="0.25">
      <c r="B21" s="174" t="s">
        <v>26</v>
      </c>
      <c r="C21" s="153" t="s">
        <v>28</v>
      </c>
      <c r="D21" s="65"/>
      <c r="E21" s="75">
        <v>0</v>
      </c>
      <c r="F21" s="49"/>
      <c r="G21" s="50"/>
      <c r="H21" s="51">
        <f t="shared" si="10"/>
        <v>0</v>
      </c>
      <c r="I21" s="52">
        <f t="shared" si="11"/>
        <v>0</v>
      </c>
      <c r="J21" s="207"/>
      <c r="K21" s="248">
        <v>0</v>
      </c>
      <c r="L21" s="223">
        <v>6</v>
      </c>
      <c r="M21" s="206">
        <f>13750*2+13090*2+30910+17160</f>
        <v>101750</v>
      </c>
      <c r="N21" s="195">
        <f t="shared" si="12"/>
        <v>6</v>
      </c>
      <c r="O21" s="196">
        <f t="shared" si="13"/>
        <v>101750</v>
      </c>
      <c r="P21" s="66"/>
      <c r="Q21" s="31">
        <v>0</v>
      </c>
      <c r="R21" s="67">
        <v>7</v>
      </c>
      <c r="S21" s="56">
        <f>2063+13750*4+30250+17160</f>
        <v>104473</v>
      </c>
      <c r="T21" s="57">
        <f t="shared" si="14"/>
        <v>7</v>
      </c>
      <c r="U21" s="58">
        <f t="shared" si="15"/>
        <v>104473</v>
      </c>
      <c r="V21" s="68"/>
      <c r="W21" s="60">
        <v>0</v>
      </c>
      <c r="X21" s="69">
        <v>3</v>
      </c>
      <c r="Y21" s="62">
        <f>13750+13090+8750</f>
        <v>35590</v>
      </c>
      <c r="Z21" s="63">
        <f t="shared" si="16"/>
        <v>3</v>
      </c>
      <c r="AA21" s="41">
        <f t="shared" si="17"/>
        <v>35590</v>
      </c>
      <c r="AB21" s="152">
        <f t="shared" si="4"/>
        <v>16</v>
      </c>
      <c r="AC21" s="220">
        <f t="shared" si="5"/>
        <v>241813</v>
      </c>
      <c r="AD21" s="70"/>
      <c r="AE21" s="151">
        <f>5000+11687</f>
        <v>16687</v>
      </c>
      <c r="AG21" s="218">
        <f t="shared" si="6"/>
        <v>0</v>
      </c>
      <c r="AI21" s="151">
        <f t="shared" si="7"/>
        <v>241813</v>
      </c>
      <c r="AK21" s="142">
        <f t="shared" si="8"/>
        <v>16</v>
      </c>
      <c r="AM21" s="142">
        <f t="shared" si="9"/>
        <v>0</v>
      </c>
    </row>
    <row r="22" spans="2:41" ht="15.75" thickBot="1" x14ac:dyDescent="0.3">
      <c r="B22" s="176" t="s">
        <v>26</v>
      </c>
      <c r="C22" s="155" t="s">
        <v>29</v>
      </c>
      <c r="D22" s="77"/>
      <c r="E22" s="78">
        <v>0</v>
      </c>
      <c r="F22" s="79"/>
      <c r="G22" s="80"/>
      <c r="H22" s="81">
        <f t="shared" si="10"/>
        <v>0</v>
      </c>
      <c r="I22" s="82">
        <f t="shared" si="11"/>
        <v>0</v>
      </c>
      <c r="J22" s="210"/>
      <c r="K22" s="250">
        <v>0</v>
      </c>
      <c r="L22" s="225">
        <v>5</v>
      </c>
      <c r="M22" s="213">
        <f>6430+12860*2+12800+14980</f>
        <v>59930</v>
      </c>
      <c r="N22" s="197">
        <f t="shared" si="12"/>
        <v>5</v>
      </c>
      <c r="O22" s="198">
        <f t="shared" si="13"/>
        <v>59930</v>
      </c>
      <c r="P22" s="245"/>
      <c r="Q22" s="291">
        <v>0</v>
      </c>
      <c r="R22" s="292">
        <v>5</v>
      </c>
      <c r="S22" s="237">
        <f>13180+33630+20830+12800+14755</f>
        <v>95195</v>
      </c>
      <c r="T22" s="87">
        <f t="shared" si="14"/>
        <v>5</v>
      </c>
      <c r="U22" s="88">
        <f t="shared" si="15"/>
        <v>95195</v>
      </c>
      <c r="V22" s="89"/>
      <c r="W22" s="60">
        <v>0</v>
      </c>
      <c r="X22" s="90">
        <v>2</v>
      </c>
      <c r="Y22" s="91">
        <f>32120+20530</f>
        <v>52650</v>
      </c>
      <c r="Z22" s="92">
        <f t="shared" si="16"/>
        <v>2</v>
      </c>
      <c r="AA22" s="93">
        <f t="shared" si="17"/>
        <v>52650</v>
      </c>
      <c r="AB22" s="152">
        <f t="shared" si="4"/>
        <v>12</v>
      </c>
      <c r="AC22" s="220">
        <f t="shared" si="5"/>
        <v>207775</v>
      </c>
      <c r="AD22" s="70"/>
      <c r="AE22" s="154">
        <v>14755</v>
      </c>
      <c r="AG22" s="219">
        <f t="shared" si="6"/>
        <v>0</v>
      </c>
      <c r="AI22" s="154">
        <f t="shared" si="7"/>
        <v>207775</v>
      </c>
      <c r="AK22" s="144">
        <f t="shared" si="8"/>
        <v>12</v>
      </c>
      <c r="AM22" s="144">
        <f t="shared" si="9"/>
        <v>0</v>
      </c>
    </row>
    <row r="23" spans="2:41" ht="15.75" thickBot="1" x14ac:dyDescent="0.3">
      <c r="D23" s="95">
        <f t="shared" ref="D23:I23" si="18">SUM(D8:D22)</f>
        <v>0</v>
      </c>
      <c r="E23" s="96">
        <f t="shared" si="18"/>
        <v>0</v>
      </c>
      <c r="F23" s="95">
        <f t="shared" si="18"/>
        <v>0</v>
      </c>
      <c r="G23" s="97">
        <f t="shared" si="18"/>
        <v>0</v>
      </c>
      <c r="H23" s="98">
        <f t="shared" si="18"/>
        <v>0</v>
      </c>
      <c r="I23" s="99">
        <f t="shared" si="18"/>
        <v>0</v>
      </c>
      <c r="J23" s="214">
        <f t="shared" ref="J23:O23" si="19">SUM(J8:J22)</f>
        <v>0</v>
      </c>
      <c r="K23" s="226">
        <f t="shared" si="19"/>
        <v>0</v>
      </c>
      <c r="L23" s="214">
        <f t="shared" si="19"/>
        <v>25</v>
      </c>
      <c r="M23" s="216">
        <f t="shared" si="19"/>
        <v>247000</v>
      </c>
      <c r="N23" s="217">
        <f t="shared" si="19"/>
        <v>25</v>
      </c>
      <c r="O23" s="99">
        <f t="shared" si="19"/>
        <v>247000</v>
      </c>
      <c r="P23" s="244">
        <f t="shared" ref="P23:AA23" si="20">SUM(P8:P22)</f>
        <v>1</v>
      </c>
      <c r="Q23" s="101">
        <f t="shared" si="20"/>
        <v>6320</v>
      </c>
      <c r="R23" s="244">
        <f t="shared" si="20"/>
        <v>44</v>
      </c>
      <c r="S23" s="289">
        <f t="shared" si="20"/>
        <v>389268</v>
      </c>
      <c r="T23" s="103">
        <f t="shared" si="20"/>
        <v>45</v>
      </c>
      <c r="U23" s="104">
        <f t="shared" si="20"/>
        <v>395588</v>
      </c>
      <c r="V23" s="105">
        <f t="shared" si="20"/>
        <v>0</v>
      </c>
      <c r="W23" s="106">
        <f t="shared" si="20"/>
        <v>0</v>
      </c>
      <c r="X23" s="105">
        <f t="shared" si="20"/>
        <v>16</v>
      </c>
      <c r="Y23" s="107">
        <f t="shared" si="20"/>
        <v>153336</v>
      </c>
      <c r="Z23" s="108">
        <f t="shared" si="20"/>
        <v>16</v>
      </c>
      <c r="AA23" s="104">
        <f t="shared" si="20"/>
        <v>153336</v>
      </c>
      <c r="AB23" s="109" t="s">
        <v>9</v>
      </c>
      <c r="AC23" s="43">
        <f>SUM(AC8:AC22)</f>
        <v>795924</v>
      </c>
      <c r="AD23" s="70"/>
      <c r="AE23" s="1">
        <f>SUM(AE8:AE22)</f>
        <v>51666</v>
      </c>
      <c r="AI23" s="110"/>
      <c r="AK23" s="1">
        <f>SUM(AK8:AK22)</f>
        <v>85</v>
      </c>
      <c r="AM23" s="1">
        <f>SUM(AM8:AM22)</f>
        <v>1</v>
      </c>
      <c r="AO23" s="1">
        <f>+AK23+AM23</f>
        <v>86</v>
      </c>
    </row>
    <row r="24" spans="2:41" x14ac:dyDescent="0.25">
      <c r="G24" s="111"/>
      <c r="H24" s="111"/>
      <c r="I24" s="111"/>
      <c r="M24" s="111"/>
      <c r="N24" s="111"/>
      <c r="O24" s="111"/>
      <c r="P24" s="111"/>
      <c r="Q24" s="111"/>
      <c r="R24" s="112">
        <f>X23+F23+R23+L23</f>
        <v>85</v>
      </c>
      <c r="S24" s="113">
        <f>G23+Y23+S23+M23</f>
        <v>789604</v>
      </c>
      <c r="T24" s="111"/>
      <c r="U24" s="111"/>
      <c r="V24" s="111"/>
      <c r="W24" s="111"/>
      <c r="X24" s="111"/>
      <c r="Y24" s="111"/>
      <c r="Z24" s="111"/>
      <c r="AA24" s="111"/>
      <c r="AB24" s="2"/>
      <c r="AC24" s="70">
        <f>AA23+U23+I23+O23</f>
        <v>795924</v>
      </c>
      <c r="AD24" s="2"/>
    </row>
    <row r="25" spans="2:41" x14ac:dyDescent="0.25">
      <c r="D25" s="114" t="s">
        <v>30</v>
      </c>
      <c r="E25" s="114"/>
      <c r="G25" s="114"/>
      <c r="H25" s="114"/>
      <c r="I25" s="114"/>
      <c r="J25" s="114" t="s">
        <v>30</v>
      </c>
      <c r="K25" s="114"/>
      <c r="M25" s="114"/>
      <c r="N25" s="114"/>
      <c r="O25" s="114"/>
      <c r="P25" s="114"/>
      <c r="Q25" s="114"/>
      <c r="R25" s="114"/>
      <c r="S25" s="114"/>
      <c r="T25" s="114"/>
      <c r="U25" s="114"/>
      <c r="AA25" s="2"/>
      <c r="AB25" s="2"/>
      <c r="AC25" s="2"/>
      <c r="AD25" s="2"/>
    </row>
    <row r="26" spans="2:41" x14ac:dyDescent="0.25">
      <c r="D26" s="114"/>
      <c r="E26" s="114"/>
      <c r="J26" s="114"/>
      <c r="K26" s="114"/>
      <c r="P26" s="1"/>
      <c r="Q26" s="1"/>
      <c r="R26" s="1"/>
      <c r="S26" s="1"/>
      <c r="T26" s="1"/>
      <c r="U26" s="1"/>
      <c r="AA26" s="2"/>
      <c r="AB26" s="2"/>
      <c r="AC26" s="2"/>
      <c r="AD26" s="2"/>
    </row>
    <row r="27" spans="2:41" x14ac:dyDescent="0.25">
      <c r="C27" s="115">
        <v>20000</v>
      </c>
      <c r="D27" s="115"/>
      <c r="E27" s="115"/>
      <c r="F27" s="116"/>
      <c r="G27" s="117"/>
      <c r="H27" s="118"/>
      <c r="I27" s="119"/>
      <c r="J27" s="115"/>
      <c r="K27" s="115"/>
      <c r="L27" s="116"/>
      <c r="M27" s="117"/>
      <c r="N27" s="118"/>
      <c r="O27" s="119">
        <v>20000</v>
      </c>
      <c r="P27" s="119"/>
      <c r="Q27" s="119"/>
      <c r="R27" s="119"/>
      <c r="S27" s="119"/>
      <c r="T27" s="119"/>
      <c r="U27" s="119">
        <v>100000</v>
      </c>
      <c r="V27" s="119"/>
      <c r="W27" s="119"/>
      <c r="X27" s="120"/>
      <c r="Y27" s="121"/>
      <c r="Z27" s="120"/>
      <c r="AA27" s="119">
        <v>120000</v>
      </c>
      <c r="AB27" s="122"/>
      <c r="AC27" s="122"/>
      <c r="AD27" s="2"/>
      <c r="AE27" s="2"/>
      <c r="AF27" s="2"/>
    </row>
    <row r="28" spans="2:41" x14ac:dyDescent="0.25">
      <c r="C28" s="115">
        <v>10000</v>
      </c>
      <c r="D28" s="115"/>
      <c r="E28" s="115"/>
      <c r="F28" s="116"/>
      <c r="G28" s="117"/>
      <c r="H28" s="118"/>
      <c r="I28" s="119"/>
      <c r="J28" s="115"/>
      <c r="K28" s="115"/>
      <c r="L28" s="116"/>
      <c r="M28" s="117"/>
      <c r="N28" s="118"/>
      <c r="O28" s="119">
        <v>10000</v>
      </c>
      <c r="P28" s="119"/>
      <c r="Q28" s="119"/>
      <c r="R28" s="119"/>
      <c r="S28" s="119"/>
      <c r="T28" s="119"/>
      <c r="U28" s="119">
        <v>60000</v>
      </c>
      <c r="V28" s="119"/>
      <c r="W28" s="119"/>
      <c r="X28" s="120"/>
      <c r="Y28" s="122"/>
      <c r="Z28" s="120"/>
      <c r="AA28" s="119">
        <v>30000</v>
      </c>
      <c r="AB28" s="122"/>
      <c r="AC28" s="122"/>
      <c r="AD28" s="2"/>
      <c r="AE28" s="2"/>
      <c r="AF28" s="2"/>
    </row>
    <row r="29" spans="2:41" x14ac:dyDescent="0.25">
      <c r="C29" s="115">
        <v>5000</v>
      </c>
      <c r="D29" s="115"/>
      <c r="E29" s="115"/>
      <c r="F29" s="116"/>
      <c r="G29" s="117"/>
      <c r="H29" s="118"/>
      <c r="I29" s="119"/>
      <c r="J29" s="115"/>
      <c r="K29" s="115"/>
      <c r="L29" s="116"/>
      <c r="M29" s="117"/>
      <c r="N29" s="118"/>
      <c r="O29" s="119">
        <v>5000</v>
      </c>
      <c r="P29" s="119"/>
      <c r="Q29" s="119"/>
      <c r="R29" s="119"/>
      <c r="S29" s="119"/>
      <c r="T29" s="119"/>
      <c r="U29" s="119">
        <v>15000</v>
      </c>
      <c r="V29" s="119"/>
      <c r="W29" s="119"/>
      <c r="X29" s="120"/>
      <c r="Y29" s="121"/>
      <c r="Z29" s="120"/>
      <c r="AA29" s="119">
        <v>0</v>
      </c>
      <c r="AB29" s="122"/>
      <c r="AC29" s="122"/>
      <c r="AD29" s="2"/>
      <c r="AE29" s="2"/>
      <c r="AF29" s="2"/>
    </row>
    <row r="30" spans="2:41" x14ac:dyDescent="0.25">
      <c r="C30" s="115">
        <v>2000</v>
      </c>
      <c r="D30" s="115"/>
      <c r="E30" s="115"/>
      <c r="F30" s="116"/>
      <c r="G30" s="117"/>
      <c r="H30" s="118"/>
      <c r="I30" s="119"/>
      <c r="J30" s="115"/>
      <c r="K30" s="115"/>
      <c r="L30" s="116"/>
      <c r="M30" s="117"/>
      <c r="N30" s="118"/>
      <c r="O30" s="119">
        <v>0</v>
      </c>
      <c r="P30" s="119"/>
      <c r="Q30" s="119"/>
      <c r="R30" s="119"/>
      <c r="S30" s="119"/>
      <c r="T30" s="119"/>
      <c r="U30" s="119">
        <v>0</v>
      </c>
      <c r="V30" s="119"/>
      <c r="W30" s="119"/>
      <c r="X30" s="120"/>
      <c r="Y30" s="121"/>
      <c r="Z30" s="120"/>
      <c r="AA30" s="119">
        <v>0</v>
      </c>
      <c r="AB30" s="122"/>
      <c r="AC30" s="122"/>
      <c r="AD30" s="123"/>
    </row>
    <row r="31" spans="2:41" x14ac:dyDescent="0.25">
      <c r="C31" s="115">
        <v>1000</v>
      </c>
      <c r="D31" s="115"/>
      <c r="E31" s="115"/>
      <c r="F31" s="116"/>
      <c r="G31" s="117"/>
      <c r="H31" s="118"/>
      <c r="I31" s="124"/>
      <c r="J31" s="115"/>
      <c r="K31" s="115"/>
      <c r="L31" s="116"/>
      <c r="M31" s="117"/>
      <c r="N31" s="118"/>
      <c r="O31" s="124">
        <v>4000</v>
      </c>
      <c r="P31" s="124"/>
      <c r="Q31" s="124"/>
      <c r="R31" s="124"/>
      <c r="S31" s="124"/>
      <c r="T31" s="124"/>
      <c r="U31" s="124">
        <v>3000</v>
      </c>
      <c r="V31" s="124"/>
      <c r="W31" s="124"/>
      <c r="X31" s="120"/>
      <c r="Y31" s="121"/>
      <c r="Z31" s="120"/>
      <c r="AA31" s="124">
        <v>3000</v>
      </c>
      <c r="AB31" s="122"/>
      <c r="AC31" s="122"/>
      <c r="AD31" s="2"/>
      <c r="AG31" s="1" t="s">
        <v>38</v>
      </c>
    </row>
    <row r="32" spans="2:41" x14ac:dyDescent="0.25">
      <c r="C32" s="115">
        <v>500</v>
      </c>
      <c r="D32" s="115"/>
      <c r="E32" s="115"/>
      <c r="F32" s="116"/>
      <c r="G32" s="117"/>
      <c r="H32" s="118"/>
      <c r="I32" s="119"/>
      <c r="J32" s="115"/>
      <c r="K32" s="115"/>
      <c r="L32" s="116"/>
      <c r="M32" s="117"/>
      <c r="N32" s="118"/>
      <c r="O32" s="119">
        <v>0</v>
      </c>
      <c r="P32" s="119"/>
      <c r="Q32" s="119"/>
      <c r="R32" s="119"/>
      <c r="S32" s="119"/>
      <c r="T32" s="119"/>
      <c r="U32" s="119">
        <v>500</v>
      </c>
      <c r="V32" s="119"/>
      <c r="W32" s="119"/>
      <c r="X32" s="120"/>
      <c r="Y32" s="121"/>
      <c r="Z32" s="120"/>
      <c r="AA32" s="119">
        <v>0</v>
      </c>
      <c r="AB32" s="121"/>
      <c r="AC32" s="121"/>
      <c r="AD32" s="2"/>
    </row>
    <row r="33" spans="2:33" x14ac:dyDescent="0.25">
      <c r="C33" s="115">
        <v>100</v>
      </c>
      <c r="D33" s="115"/>
      <c r="E33" s="115"/>
      <c r="F33" s="116"/>
      <c r="G33" s="117"/>
      <c r="H33" s="118"/>
      <c r="I33" s="119"/>
      <c r="J33" s="115"/>
      <c r="K33" s="115"/>
      <c r="L33" s="116"/>
      <c r="M33" s="117"/>
      <c r="N33" s="118"/>
      <c r="O33" s="119">
        <v>200</v>
      </c>
      <c r="P33" s="119"/>
      <c r="Q33" s="119"/>
      <c r="R33" s="119"/>
      <c r="S33" s="119"/>
      <c r="T33" s="119"/>
      <c r="U33" s="119">
        <v>300</v>
      </c>
      <c r="V33" s="119"/>
      <c r="W33" s="119"/>
      <c r="X33" s="120"/>
      <c r="Y33" s="121"/>
      <c r="Z33" s="120"/>
      <c r="AA33" s="119">
        <v>300</v>
      </c>
      <c r="AB33" s="121"/>
      <c r="AC33" s="121"/>
      <c r="AD33" s="2"/>
    </row>
    <row r="34" spans="2:33" x14ac:dyDescent="0.25">
      <c r="C34" s="115">
        <v>50</v>
      </c>
      <c r="D34" s="115"/>
      <c r="E34" s="115"/>
      <c r="F34" s="116"/>
      <c r="G34" s="117"/>
      <c r="H34" s="118"/>
      <c r="I34" s="119"/>
      <c r="J34" s="115"/>
      <c r="K34" s="115"/>
      <c r="L34" s="116"/>
      <c r="M34" s="117"/>
      <c r="N34" s="118"/>
      <c r="O34" s="119">
        <v>0</v>
      </c>
      <c r="P34" s="119"/>
      <c r="Q34" s="119"/>
      <c r="R34" s="119"/>
      <c r="S34" s="119"/>
      <c r="T34" s="119"/>
      <c r="U34" s="119">
        <v>0</v>
      </c>
      <c r="V34" s="119"/>
      <c r="W34" s="119"/>
      <c r="X34" s="120"/>
      <c r="Y34" s="121"/>
      <c r="Z34" s="120"/>
      <c r="AA34" s="119">
        <v>0</v>
      </c>
      <c r="AB34" s="121"/>
      <c r="AC34" s="121"/>
      <c r="AD34" s="2"/>
    </row>
    <row r="35" spans="2:33" x14ac:dyDescent="0.25">
      <c r="C35" s="115">
        <v>10</v>
      </c>
      <c r="D35" s="115"/>
      <c r="E35" s="115"/>
      <c r="F35" s="116"/>
      <c r="G35" s="117"/>
      <c r="H35" s="118"/>
      <c r="I35" s="119"/>
      <c r="J35" s="115"/>
      <c r="K35" s="115"/>
      <c r="L35" s="116"/>
      <c r="M35" s="117"/>
      <c r="N35" s="118"/>
      <c r="O35" s="119">
        <v>20</v>
      </c>
      <c r="P35" s="119"/>
      <c r="Q35" s="119"/>
      <c r="R35" s="119"/>
      <c r="S35" s="119"/>
      <c r="T35" s="119"/>
      <c r="U35" s="119">
        <v>10</v>
      </c>
      <c r="V35" s="119"/>
      <c r="W35" s="119"/>
      <c r="X35" s="120"/>
      <c r="Y35" s="121"/>
      <c r="Z35" s="120"/>
      <c r="AA35" s="119">
        <v>40</v>
      </c>
      <c r="AB35" s="121"/>
      <c r="AC35" s="121"/>
      <c r="AD35" s="2"/>
      <c r="AG35" s="1" t="s">
        <v>25</v>
      </c>
    </row>
    <row r="36" spans="2:33" x14ac:dyDescent="0.25">
      <c r="C36" s="1" t="s">
        <v>32</v>
      </c>
      <c r="E36" s="131"/>
      <c r="G36" s="125"/>
      <c r="H36" s="118"/>
      <c r="I36" s="124"/>
      <c r="K36" s="131"/>
      <c r="M36" s="125"/>
      <c r="N36" s="118"/>
      <c r="O36" s="124">
        <f>5+207775</f>
        <v>207780</v>
      </c>
      <c r="P36" s="124"/>
      <c r="Q36" s="124"/>
      <c r="R36" s="124"/>
      <c r="S36" s="124"/>
      <c r="T36" s="124"/>
      <c r="U36" s="124">
        <f>159896+56880+2</f>
        <v>216778</v>
      </c>
      <c r="V36" s="124"/>
      <c r="W36" s="124"/>
      <c r="X36" s="120"/>
      <c r="Y36" s="124"/>
      <c r="Z36" s="120"/>
      <c r="AA36" s="124">
        <v>-4</v>
      </c>
      <c r="AB36" s="124"/>
      <c r="AC36" s="124"/>
      <c r="AD36" s="2"/>
    </row>
    <row r="37" spans="2:33" s="114" customFormat="1" ht="15.75" x14ac:dyDescent="0.25">
      <c r="F37" s="126"/>
      <c r="G37" s="127"/>
      <c r="I37" s="128">
        <f>SUM(I27:I36)</f>
        <v>0</v>
      </c>
      <c r="L37" s="126"/>
      <c r="M37" s="127"/>
      <c r="O37" s="128">
        <f>SUM(O27:O36)</f>
        <v>247000</v>
      </c>
      <c r="P37" s="116"/>
      <c r="Q37" s="116"/>
      <c r="R37" s="116"/>
      <c r="S37" s="116"/>
      <c r="T37" s="116"/>
      <c r="U37" s="128">
        <f>SUM(U27:U36)</f>
        <v>395588</v>
      </c>
      <c r="V37" s="116"/>
      <c r="W37" s="116"/>
      <c r="X37" s="123"/>
      <c r="Y37" s="116"/>
      <c r="Z37" s="123"/>
      <c r="AA37" s="128">
        <f>SUM(AA27:AA36)</f>
        <v>153336</v>
      </c>
      <c r="AB37" s="129"/>
      <c r="AC37" s="125">
        <f>+I37+U37+AA37+O37</f>
        <v>795924</v>
      </c>
    </row>
    <row r="38" spans="2:33" x14ac:dyDescent="0.25">
      <c r="B38" s="2"/>
      <c r="C38" s="2"/>
      <c r="D38" s="2"/>
      <c r="E38" s="70"/>
      <c r="F38" s="2"/>
      <c r="G38" s="2"/>
      <c r="H38" s="2"/>
      <c r="I38" s="2"/>
      <c r="J38" s="2"/>
      <c r="K38" s="70"/>
      <c r="L38" s="2"/>
      <c r="M38" s="2"/>
      <c r="N38" s="2"/>
      <c r="O38" s="2"/>
      <c r="X38" s="70"/>
      <c r="AA38" s="2"/>
      <c r="AB38" s="130"/>
      <c r="AC38" s="131">
        <f>AC37-AC24</f>
        <v>0</v>
      </c>
    </row>
    <row r="39" spans="2:33" x14ac:dyDescent="0.25">
      <c r="B39" s="2"/>
      <c r="C39" s="2"/>
      <c r="D39" s="2"/>
      <c r="E39" s="70"/>
      <c r="F39" s="2"/>
      <c r="G39" s="2"/>
      <c r="H39" s="2"/>
      <c r="I39" s="129"/>
      <c r="J39" s="2"/>
      <c r="K39" s="70"/>
      <c r="L39" s="2"/>
      <c r="M39" s="2"/>
      <c r="N39" s="2"/>
      <c r="O39" s="129"/>
      <c r="P39" s="2" t="s">
        <v>38</v>
      </c>
      <c r="U39" s="129"/>
      <c r="X39" s="70"/>
      <c r="AA39" s="2"/>
      <c r="AB39" s="130"/>
      <c r="AC39" s="131"/>
    </row>
    <row r="40" spans="2:33" x14ac:dyDescent="0.25">
      <c r="E40" s="110"/>
      <c r="Q40" s="133"/>
      <c r="Y40" s="1"/>
      <c r="Z40" s="1"/>
    </row>
    <row r="41" spans="2:33" x14ac:dyDescent="0.25">
      <c r="S41" s="129"/>
      <c r="T41" s="129"/>
      <c r="U41" s="129"/>
      <c r="W41" s="130"/>
    </row>
  </sheetData>
  <mergeCells count="11">
    <mergeCell ref="B6:B7"/>
    <mergeCell ref="C6:C7"/>
    <mergeCell ref="D6:I6"/>
    <mergeCell ref="J6:O6"/>
    <mergeCell ref="P6:U6"/>
    <mergeCell ref="AB6:AB7"/>
    <mergeCell ref="AC6:AC7"/>
    <mergeCell ref="AE6:AE7"/>
    <mergeCell ref="Q3:T3"/>
    <mergeCell ref="C4:D4"/>
    <mergeCell ref="V6:AA6"/>
  </mergeCells>
  <pageMargins left="0.39370078740157483" right="0.39370078740157483" top="0.19685039370078741" bottom="0.19685039370078741" header="0" footer="0"/>
  <pageSetup paperSize="9" scale="87" orientation="landscape" horizontalDpi="0" verticalDpi="0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">
    <pageSetUpPr fitToPage="1"/>
  </sheetPr>
  <dimension ref="A1:AO41"/>
  <sheetViews>
    <sheetView zoomScaleNormal="100" workbookViewId="0">
      <pane xSplit="3" topLeftCell="P1" activePane="topRight" state="frozen"/>
      <selection activeCell="M17" sqref="M17"/>
      <selection pane="topRight" activeCell="AI3" sqref="AI3"/>
    </sheetView>
  </sheetViews>
  <sheetFormatPr baseColWidth="10" defaultRowHeight="15" x14ac:dyDescent="0.25"/>
  <cols>
    <col min="1" max="1" width="1.7109375" style="1" customWidth="1"/>
    <col min="2" max="2" width="10" style="1" customWidth="1"/>
    <col min="3" max="3" width="29.140625" style="1" customWidth="1"/>
    <col min="4" max="4" width="5.7109375" style="1" hidden="1" customWidth="1"/>
    <col min="5" max="5" width="10.7109375" style="1" hidden="1" customWidth="1"/>
    <col min="6" max="6" width="5.7109375" style="1" hidden="1" customWidth="1"/>
    <col min="7" max="7" width="10.7109375" style="1" hidden="1" customWidth="1"/>
    <col min="8" max="8" width="5.7109375" style="1" hidden="1" customWidth="1"/>
    <col min="9" max="9" width="10.7109375" style="1" hidden="1" customWidth="1"/>
    <col min="10" max="10" width="5.7109375" style="1" hidden="1" customWidth="1"/>
    <col min="11" max="11" width="10.7109375" style="1" hidden="1" customWidth="1"/>
    <col min="12" max="12" width="5.7109375" style="1" hidden="1" customWidth="1"/>
    <col min="13" max="13" width="10.7109375" style="1" hidden="1" customWidth="1"/>
    <col min="14" max="14" width="5.7109375" style="1" hidden="1" customWidth="1"/>
    <col min="15" max="15" width="10.7109375" style="1" hidden="1" customWidth="1"/>
    <col min="16" max="16" width="5.7109375" style="2" customWidth="1"/>
    <col min="17" max="17" width="10.7109375" style="2" customWidth="1"/>
    <col min="18" max="18" width="5.7109375" style="2" customWidth="1"/>
    <col min="19" max="19" width="10.7109375" style="2" customWidth="1"/>
    <col min="20" max="20" width="5.7109375" style="2" customWidth="1"/>
    <col min="21" max="21" width="10.7109375" style="2" customWidth="1"/>
    <col min="22" max="22" width="5.7109375" style="2" hidden="1" customWidth="1"/>
    <col min="23" max="23" width="10.7109375" style="2" hidden="1" customWidth="1"/>
    <col min="24" max="24" width="5.7109375" style="2" hidden="1" customWidth="1"/>
    <col min="25" max="25" width="10.7109375" style="2" hidden="1" customWidth="1"/>
    <col min="26" max="26" width="5.7109375" style="2" hidden="1" customWidth="1"/>
    <col min="27" max="27" width="10.7109375" style="1" hidden="1" customWidth="1"/>
    <col min="28" max="28" width="9.5703125" style="1" customWidth="1"/>
    <col min="29" max="29" width="14.5703125" style="1" bestFit="1" customWidth="1"/>
    <col min="30" max="30" width="3.28515625" style="1" customWidth="1"/>
    <col min="31" max="31" width="11.42578125" style="1"/>
    <col min="32" max="32" width="3.7109375" style="1" customWidth="1"/>
    <col min="33" max="33" width="10.140625" style="1" customWidth="1"/>
    <col min="34" max="34" width="3.7109375" style="1" customWidth="1"/>
    <col min="35" max="35" width="11.42578125" style="1"/>
    <col min="36" max="36" width="3.7109375" style="1" customWidth="1"/>
    <col min="37" max="37" width="5.7109375" style="1" customWidth="1"/>
    <col min="38" max="38" width="3.7109375" style="1" customWidth="1"/>
    <col min="39" max="39" width="5.7109375" style="1" customWidth="1"/>
    <col min="40" max="40" width="3.7109375" style="1" customWidth="1"/>
    <col min="41" max="41" width="5.7109375" style="1" customWidth="1"/>
    <col min="42" max="16384" width="11.42578125" style="1"/>
  </cols>
  <sheetData>
    <row r="1" spans="1:39" ht="5.25" customHeight="1" x14ac:dyDescent="0.25">
      <c r="Y1" s="1"/>
      <c r="Z1" s="1"/>
    </row>
    <row r="2" spans="1:39" ht="21" x14ac:dyDescent="0.35">
      <c r="B2" s="3" t="s">
        <v>0</v>
      </c>
      <c r="P2" s="1"/>
      <c r="Q2" s="4"/>
      <c r="Z2" s="1"/>
    </row>
    <row r="3" spans="1:39" ht="15" customHeight="1" x14ac:dyDescent="0.25">
      <c r="A3" s="5"/>
      <c r="B3" s="6" t="s">
        <v>1</v>
      </c>
      <c r="C3" s="7"/>
      <c r="D3" s="7"/>
      <c r="E3" s="7"/>
      <c r="F3" s="7"/>
      <c r="P3" s="1"/>
      <c r="Q3" s="353"/>
      <c r="R3" s="353"/>
      <c r="S3" s="353"/>
      <c r="T3" s="353"/>
      <c r="U3" s="252"/>
      <c r="V3" s="252"/>
      <c r="Z3" s="1"/>
    </row>
    <row r="4" spans="1:39" ht="18" customHeight="1" x14ac:dyDescent="0.25">
      <c r="B4" s="253" t="s">
        <v>2</v>
      </c>
      <c r="C4" s="354" t="s">
        <v>67</v>
      </c>
      <c r="D4" s="355"/>
      <c r="E4" s="253"/>
      <c r="F4" s="253"/>
      <c r="P4" s="1"/>
      <c r="Q4" s="9"/>
      <c r="R4" s="10"/>
      <c r="S4" s="9"/>
      <c r="T4" s="9"/>
      <c r="U4" s="9"/>
      <c r="V4" s="9"/>
      <c r="Z4" s="1"/>
    </row>
    <row r="5" spans="1:39" ht="15.75" thickBot="1" x14ac:dyDescent="0.3">
      <c r="A5" s="253"/>
      <c r="B5" s="253"/>
      <c r="C5" s="253"/>
      <c r="D5" s="253"/>
      <c r="E5" s="253"/>
      <c r="J5" s="253"/>
      <c r="K5" s="253"/>
      <c r="P5" s="1"/>
      <c r="Q5" s="1"/>
      <c r="R5" s="1"/>
      <c r="S5" s="1"/>
      <c r="T5" s="1"/>
      <c r="U5" s="1"/>
      <c r="V5" s="9"/>
      <c r="W5" s="9"/>
      <c r="X5" s="9"/>
      <c r="Y5" s="9"/>
      <c r="Z5" s="9"/>
      <c r="AA5" s="9"/>
      <c r="AB5" s="2"/>
      <c r="AC5" s="2"/>
      <c r="AD5" s="2"/>
    </row>
    <row r="6" spans="1:39" ht="27.75" customHeight="1" thickBot="1" x14ac:dyDescent="0.3">
      <c r="B6" s="356" t="s">
        <v>3</v>
      </c>
      <c r="C6" s="343" t="s">
        <v>4</v>
      </c>
      <c r="D6" s="358" t="s">
        <v>36</v>
      </c>
      <c r="E6" s="359"/>
      <c r="F6" s="360"/>
      <c r="G6" s="360"/>
      <c r="H6" s="360"/>
      <c r="I6" s="361"/>
      <c r="J6" s="370" t="s">
        <v>42</v>
      </c>
      <c r="K6" s="371"/>
      <c r="L6" s="372"/>
      <c r="M6" s="372"/>
      <c r="N6" s="372"/>
      <c r="O6" s="373"/>
      <c r="P6" s="362" t="s">
        <v>31</v>
      </c>
      <c r="Q6" s="363"/>
      <c r="R6" s="364"/>
      <c r="S6" s="364"/>
      <c r="T6" s="364"/>
      <c r="U6" s="365"/>
      <c r="V6" s="366" t="s">
        <v>31</v>
      </c>
      <c r="W6" s="367"/>
      <c r="X6" s="368"/>
      <c r="Y6" s="368"/>
      <c r="Z6" s="368"/>
      <c r="AA6" s="369"/>
      <c r="AB6" s="349" t="s">
        <v>5</v>
      </c>
      <c r="AC6" s="349" t="s">
        <v>6</v>
      </c>
      <c r="AD6" s="2"/>
      <c r="AE6" s="351" t="s">
        <v>7</v>
      </c>
      <c r="AF6" s="2"/>
    </row>
    <row r="7" spans="1:39" ht="25.5" customHeight="1" thickBot="1" x14ac:dyDescent="0.3">
      <c r="B7" s="357"/>
      <c r="C7" s="344"/>
      <c r="D7" s="11" t="s">
        <v>8</v>
      </c>
      <c r="E7" s="12" t="s">
        <v>9</v>
      </c>
      <c r="F7" s="13" t="s">
        <v>8</v>
      </c>
      <c r="G7" s="14" t="s">
        <v>9</v>
      </c>
      <c r="H7" s="11" t="s">
        <v>5</v>
      </c>
      <c r="I7" s="14" t="s">
        <v>10</v>
      </c>
      <c r="J7" s="190" t="s">
        <v>8</v>
      </c>
      <c r="K7" s="192" t="s">
        <v>9</v>
      </c>
      <c r="L7" s="191" t="s">
        <v>8</v>
      </c>
      <c r="M7" s="192" t="s">
        <v>9</v>
      </c>
      <c r="N7" s="190" t="s">
        <v>5</v>
      </c>
      <c r="O7" s="192" t="s">
        <v>10</v>
      </c>
      <c r="P7" s="15" t="s">
        <v>8</v>
      </c>
      <c r="Q7" s="16" t="s">
        <v>9</v>
      </c>
      <c r="R7" s="17" t="s">
        <v>8</v>
      </c>
      <c r="S7" s="16" t="s">
        <v>9</v>
      </c>
      <c r="T7" s="15" t="s">
        <v>5</v>
      </c>
      <c r="U7" s="16" t="s">
        <v>10</v>
      </c>
      <c r="V7" s="18" t="s">
        <v>8</v>
      </c>
      <c r="W7" s="19" t="s">
        <v>9</v>
      </c>
      <c r="X7" s="20" t="s">
        <v>8</v>
      </c>
      <c r="Y7" s="21" t="s">
        <v>9</v>
      </c>
      <c r="Z7" s="18" t="s">
        <v>5</v>
      </c>
      <c r="AA7" s="21" t="s">
        <v>10</v>
      </c>
      <c r="AB7" s="350"/>
      <c r="AC7" s="350"/>
      <c r="AD7" s="2"/>
      <c r="AE7" s="352"/>
      <c r="AG7" s="22" t="s">
        <v>11</v>
      </c>
      <c r="AI7" s="22" t="s">
        <v>12</v>
      </c>
    </row>
    <row r="8" spans="1:39" x14ac:dyDescent="0.25">
      <c r="B8" s="173">
        <v>6320</v>
      </c>
      <c r="C8" s="23" t="s">
        <v>13</v>
      </c>
      <c r="D8" s="24"/>
      <c r="E8" s="25">
        <f>+D8*B8</f>
        <v>0</v>
      </c>
      <c r="F8" s="26"/>
      <c r="G8" s="27"/>
      <c r="H8" s="28">
        <f>D8+F8</f>
        <v>0</v>
      </c>
      <c r="I8" s="29">
        <f>E8+G8</f>
        <v>0</v>
      </c>
      <c r="J8" s="199"/>
      <c r="K8" s="249">
        <f>+J8*B8</f>
        <v>0</v>
      </c>
      <c r="L8" s="222"/>
      <c r="M8" s="202"/>
      <c r="N8" s="193">
        <f>J8+L8</f>
        <v>0</v>
      </c>
      <c r="O8" s="194">
        <f>K8+M8</f>
        <v>0</v>
      </c>
      <c r="P8" s="30"/>
      <c r="Q8" s="31">
        <f>+P8*B8</f>
        <v>0</v>
      </c>
      <c r="R8" s="32"/>
      <c r="S8" s="33"/>
      <c r="T8" s="34">
        <f>P8+R8</f>
        <v>0</v>
      </c>
      <c r="U8" s="35">
        <f>Q8+S8</f>
        <v>0</v>
      </c>
      <c r="V8" s="36"/>
      <c r="W8" s="37">
        <f t="shared" ref="W8:W19" si="0">+V8*B8</f>
        <v>0</v>
      </c>
      <c r="X8" s="38"/>
      <c r="Y8" s="39"/>
      <c r="Z8" s="40">
        <f>V8+X8</f>
        <v>0</v>
      </c>
      <c r="AA8" s="41">
        <f>Y8+W8</f>
        <v>0</v>
      </c>
      <c r="AB8" s="42">
        <f>+D8+F8+P8+R8+V8+X8+J8+L8</f>
        <v>0</v>
      </c>
      <c r="AC8" s="188">
        <f>+E8+G8+Q8+S8+W8+Y8+K8+M8</f>
        <v>0</v>
      </c>
      <c r="AD8" s="44"/>
      <c r="AE8" s="45"/>
      <c r="AG8" s="187">
        <f>E8+W8+Q8+K8</f>
        <v>0</v>
      </c>
      <c r="AI8" s="45">
        <f>G8+Y8+S8+M8</f>
        <v>0</v>
      </c>
      <c r="AK8" s="139">
        <f>F8+R8+X8+L8</f>
        <v>0</v>
      </c>
      <c r="AM8" s="139">
        <f>+D8+P8+V8+J8</f>
        <v>0</v>
      </c>
    </row>
    <row r="9" spans="1:39" x14ac:dyDescent="0.25">
      <c r="B9" s="174">
        <v>6320</v>
      </c>
      <c r="C9" s="264" t="s">
        <v>14</v>
      </c>
      <c r="D9" s="47"/>
      <c r="E9" s="48">
        <f t="shared" ref="E9:E19" si="1">+D9*B9</f>
        <v>0</v>
      </c>
      <c r="F9" s="49"/>
      <c r="G9" s="50"/>
      <c r="H9" s="51">
        <f>D9+F9</f>
        <v>0</v>
      </c>
      <c r="I9" s="52">
        <f>G9+E9</f>
        <v>0</v>
      </c>
      <c r="J9" s="203"/>
      <c r="K9" s="248">
        <f t="shared" ref="K9:K19" si="2">+J9*B9</f>
        <v>0</v>
      </c>
      <c r="L9" s="223"/>
      <c r="M9" s="206"/>
      <c r="N9" s="195">
        <f>J9+L9</f>
        <v>0</v>
      </c>
      <c r="O9" s="196">
        <f>M9+K9</f>
        <v>0</v>
      </c>
      <c r="P9" s="53"/>
      <c r="Q9" s="31">
        <f t="shared" ref="Q9:Q19" si="3">+P9*B9</f>
        <v>0</v>
      </c>
      <c r="R9" s="55">
        <v>2</v>
      </c>
      <c r="S9" s="56">
        <f>632+6320</f>
        <v>6952</v>
      </c>
      <c r="T9" s="57">
        <f>P9+R9</f>
        <v>2</v>
      </c>
      <c r="U9" s="58">
        <f>S9+Q9</f>
        <v>6952</v>
      </c>
      <c r="V9" s="59"/>
      <c r="W9" s="60">
        <f t="shared" si="0"/>
        <v>0</v>
      </c>
      <c r="X9" s="61"/>
      <c r="Y9" s="62"/>
      <c r="Z9" s="63">
        <f>V9+X9</f>
        <v>0</v>
      </c>
      <c r="AA9" s="41">
        <f>Y9+W9</f>
        <v>0</v>
      </c>
      <c r="AB9" s="42">
        <f t="shared" ref="AB9:AB22" si="4">+D9+F9+P9+R9+V9+X9+J9+L9</f>
        <v>2</v>
      </c>
      <c r="AC9" s="266">
        <f t="shared" ref="AC9:AC22" si="5">+E9+G9+Q9+S9+W9+Y9+K9+M9</f>
        <v>6952</v>
      </c>
      <c r="AD9" s="44"/>
      <c r="AE9" s="64">
        <v>5688</v>
      </c>
      <c r="AG9" s="251">
        <f t="shared" ref="AG9:AG22" si="6">E9+W9+Q9+K9</f>
        <v>0</v>
      </c>
      <c r="AI9" s="64">
        <f t="shared" ref="AI9:AI22" si="7">G9+Y9+S9+M9</f>
        <v>6952</v>
      </c>
      <c r="AK9" s="142">
        <f t="shared" ref="AK9:AK22" si="8">F9+R9+X9+L9</f>
        <v>2</v>
      </c>
      <c r="AM9" s="142">
        <f t="shared" ref="AM9:AM22" si="9">+D9+P9+V9+J9</f>
        <v>0</v>
      </c>
    </row>
    <row r="10" spans="1:39" x14ac:dyDescent="0.25">
      <c r="B10" s="174">
        <v>6320</v>
      </c>
      <c r="C10" s="46" t="s">
        <v>16</v>
      </c>
      <c r="D10" s="47"/>
      <c r="E10" s="48">
        <f t="shared" si="1"/>
        <v>0</v>
      </c>
      <c r="F10" s="49"/>
      <c r="G10" s="50"/>
      <c r="H10" s="51">
        <f t="shared" ref="H10:H22" si="10">D10+F10</f>
        <v>0</v>
      </c>
      <c r="I10" s="52">
        <f t="shared" ref="I10:I22" si="11">G10+E10</f>
        <v>0</v>
      </c>
      <c r="J10" s="203"/>
      <c r="K10" s="248">
        <f t="shared" si="2"/>
        <v>0</v>
      </c>
      <c r="L10" s="223"/>
      <c r="M10" s="206"/>
      <c r="N10" s="195">
        <f t="shared" ref="N10:N22" si="12">J10+L10</f>
        <v>0</v>
      </c>
      <c r="O10" s="196">
        <f t="shared" ref="O10:O22" si="13">M10+K10</f>
        <v>0</v>
      </c>
      <c r="P10" s="53"/>
      <c r="Q10" s="31">
        <f t="shared" si="3"/>
        <v>0</v>
      </c>
      <c r="R10" s="55"/>
      <c r="S10" s="56"/>
      <c r="T10" s="57">
        <f t="shared" ref="T10:T22" si="14">P10+R10</f>
        <v>0</v>
      </c>
      <c r="U10" s="58">
        <f t="shared" ref="U10:U22" si="15">S10+Q10</f>
        <v>0</v>
      </c>
      <c r="V10" s="59"/>
      <c r="W10" s="60">
        <f t="shared" si="0"/>
        <v>0</v>
      </c>
      <c r="X10" s="61"/>
      <c r="Y10" s="62"/>
      <c r="Z10" s="63">
        <f t="shared" ref="Z10:Z22" si="16">V10+X10</f>
        <v>0</v>
      </c>
      <c r="AA10" s="41">
        <f t="shared" ref="AA10:AA22" si="17">Y10+W10</f>
        <v>0</v>
      </c>
      <c r="AB10" s="42">
        <f t="shared" si="4"/>
        <v>0</v>
      </c>
      <c r="AC10" s="188">
        <f t="shared" si="5"/>
        <v>0</v>
      </c>
      <c r="AD10" s="44"/>
      <c r="AE10" s="64"/>
      <c r="AG10" s="218">
        <f t="shared" si="6"/>
        <v>0</v>
      </c>
      <c r="AI10" s="64">
        <f t="shared" si="7"/>
        <v>0</v>
      </c>
      <c r="AK10" s="142">
        <f t="shared" si="8"/>
        <v>0</v>
      </c>
      <c r="AM10" s="142">
        <f t="shared" si="9"/>
        <v>0</v>
      </c>
    </row>
    <row r="11" spans="1:39" x14ac:dyDescent="0.25">
      <c r="B11" s="174">
        <v>6320</v>
      </c>
      <c r="C11" s="46" t="s">
        <v>17</v>
      </c>
      <c r="D11" s="65"/>
      <c r="E11" s="48">
        <f t="shared" si="1"/>
        <v>0</v>
      </c>
      <c r="F11" s="49"/>
      <c r="G11" s="50"/>
      <c r="H11" s="51">
        <f t="shared" si="10"/>
        <v>0</v>
      </c>
      <c r="I11" s="52">
        <f t="shared" si="11"/>
        <v>0</v>
      </c>
      <c r="J11" s="207"/>
      <c r="K11" s="248">
        <f t="shared" si="2"/>
        <v>0</v>
      </c>
      <c r="L11" s="223"/>
      <c r="M11" s="206"/>
      <c r="N11" s="195">
        <f t="shared" si="12"/>
        <v>0</v>
      </c>
      <c r="O11" s="196">
        <f t="shared" si="13"/>
        <v>0</v>
      </c>
      <c r="P11" s="66">
        <v>1</v>
      </c>
      <c r="Q11" s="31">
        <f t="shared" si="3"/>
        <v>6320</v>
      </c>
      <c r="R11" s="67">
        <v>14</v>
      </c>
      <c r="S11" s="56">
        <f>3715+3160+6320*12</f>
        <v>82715</v>
      </c>
      <c r="T11" s="57">
        <f t="shared" si="14"/>
        <v>15</v>
      </c>
      <c r="U11" s="58">
        <f t="shared" si="15"/>
        <v>89035</v>
      </c>
      <c r="V11" s="68"/>
      <c r="W11" s="60">
        <f t="shared" si="0"/>
        <v>0</v>
      </c>
      <c r="X11" s="69"/>
      <c r="Y11" s="62"/>
      <c r="Z11" s="63">
        <f t="shared" si="16"/>
        <v>0</v>
      </c>
      <c r="AA11" s="41">
        <f t="shared" si="17"/>
        <v>0</v>
      </c>
      <c r="AB11" s="42">
        <f t="shared" si="4"/>
        <v>15</v>
      </c>
      <c r="AC11" s="188">
        <f t="shared" si="5"/>
        <v>89035</v>
      </c>
      <c r="AD11" s="70"/>
      <c r="AE11" s="64">
        <f>2605+3160</f>
        <v>5765</v>
      </c>
      <c r="AG11" s="218">
        <f t="shared" si="6"/>
        <v>6320</v>
      </c>
      <c r="AI11" s="64">
        <f t="shared" si="7"/>
        <v>82715</v>
      </c>
      <c r="AK11" s="142">
        <f t="shared" si="8"/>
        <v>14</v>
      </c>
      <c r="AM11" s="142">
        <f t="shared" si="9"/>
        <v>1</v>
      </c>
    </row>
    <row r="12" spans="1:39" x14ac:dyDescent="0.25">
      <c r="B12" s="174">
        <v>6320</v>
      </c>
      <c r="C12" s="46" t="s">
        <v>18</v>
      </c>
      <c r="D12" s="65"/>
      <c r="E12" s="48">
        <f t="shared" si="1"/>
        <v>0</v>
      </c>
      <c r="F12" s="49"/>
      <c r="G12" s="50"/>
      <c r="H12" s="51">
        <f t="shared" si="10"/>
        <v>0</v>
      </c>
      <c r="I12" s="52">
        <f t="shared" si="11"/>
        <v>0</v>
      </c>
      <c r="J12" s="207"/>
      <c r="K12" s="248">
        <f t="shared" si="2"/>
        <v>0</v>
      </c>
      <c r="L12" s="223"/>
      <c r="M12" s="206"/>
      <c r="N12" s="195">
        <f t="shared" si="12"/>
        <v>0</v>
      </c>
      <c r="O12" s="196">
        <f t="shared" si="13"/>
        <v>0</v>
      </c>
      <c r="P12" s="66"/>
      <c r="Q12" s="31">
        <f t="shared" si="3"/>
        <v>0</v>
      </c>
      <c r="R12" s="67"/>
      <c r="S12" s="56"/>
      <c r="T12" s="57">
        <f t="shared" si="14"/>
        <v>0</v>
      </c>
      <c r="U12" s="58">
        <f t="shared" si="15"/>
        <v>0</v>
      </c>
      <c r="V12" s="68"/>
      <c r="W12" s="60">
        <f t="shared" si="0"/>
        <v>0</v>
      </c>
      <c r="X12" s="69"/>
      <c r="Y12" s="62"/>
      <c r="Z12" s="63">
        <f t="shared" si="16"/>
        <v>0</v>
      </c>
      <c r="AA12" s="41">
        <f t="shared" si="17"/>
        <v>0</v>
      </c>
      <c r="AB12" s="42">
        <f t="shared" si="4"/>
        <v>0</v>
      </c>
      <c r="AC12" s="188">
        <f t="shared" si="5"/>
        <v>0</v>
      </c>
      <c r="AD12" s="71"/>
      <c r="AE12" s="64"/>
      <c r="AG12" s="218">
        <f t="shared" si="6"/>
        <v>0</v>
      </c>
      <c r="AI12" s="64">
        <f t="shared" si="7"/>
        <v>0</v>
      </c>
      <c r="AK12" s="142">
        <f t="shared" si="8"/>
        <v>0</v>
      </c>
      <c r="AM12" s="142">
        <f t="shared" si="9"/>
        <v>0</v>
      </c>
    </row>
    <row r="13" spans="1:39" x14ac:dyDescent="0.25">
      <c r="B13" s="174">
        <v>6320</v>
      </c>
      <c r="C13" s="46" t="s">
        <v>19</v>
      </c>
      <c r="D13" s="65"/>
      <c r="E13" s="48">
        <f t="shared" si="1"/>
        <v>0</v>
      </c>
      <c r="F13" s="49"/>
      <c r="G13" s="50"/>
      <c r="H13" s="51">
        <f t="shared" si="10"/>
        <v>0</v>
      </c>
      <c r="I13" s="52">
        <f t="shared" si="11"/>
        <v>0</v>
      </c>
      <c r="J13" s="207"/>
      <c r="K13" s="248">
        <f t="shared" si="2"/>
        <v>0</v>
      </c>
      <c r="L13" s="223"/>
      <c r="M13" s="206"/>
      <c r="N13" s="195">
        <f t="shared" si="12"/>
        <v>0</v>
      </c>
      <c r="O13" s="196">
        <f t="shared" si="13"/>
        <v>0</v>
      </c>
      <c r="P13" s="66"/>
      <c r="Q13" s="31">
        <f t="shared" si="3"/>
        <v>0</v>
      </c>
      <c r="R13" s="67"/>
      <c r="S13" s="56"/>
      <c r="T13" s="57">
        <f t="shared" si="14"/>
        <v>0</v>
      </c>
      <c r="U13" s="58">
        <f t="shared" si="15"/>
        <v>0</v>
      </c>
      <c r="V13" s="68"/>
      <c r="W13" s="60">
        <f t="shared" si="0"/>
        <v>0</v>
      </c>
      <c r="X13" s="69"/>
      <c r="Y13" s="62"/>
      <c r="Z13" s="63">
        <f t="shared" si="16"/>
        <v>0</v>
      </c>
      <c r="AA13" s="41">
        <f t="shared" si="17"/>
        <v>0</v>
      </c>
      <c r="AB13" s="42">
        <f t="shared" si="4"/>
        <v>0</v>
      </c>
      <c r="AC13" s="188">
        <f t="shared" si="5"/>
        <v>0</v>
      </c>
      <c r="AD13" s="70"/>
      <c r="AE13" s="64"/>
      <c r="AG13" s="218">
        <f t="shared" si="6"/>
        <v>0</v>
      </c>
      <c r="AI13" s="64">
        <f t="shared" si="7"/>
        <v>0</v>
      </c>
      <c r="AK13" s="142">
        <f t="shared" si="8"/>
        <v>0</v>
      </c>
      <c r="AM13" s="142">
        <f t="shared" si="9"/>
        <v>0</v>
      </c>
    </row>
    <row r="14" spans="1:39" x14ac:dyDescent="0.25">
      <c r="B14" s="174">
        <v>6320</v>
      </c>
      <c r="C14" s="46" t="s">
        <v>20</v>
      </c>
      <c r="D14" s="65"/>
      <c r="E14" s="48">
        <f t="shared" si="1"/>
        <v>0</v>
      </c>
      <c r="F14" s="49"/>
      <c r="G14" s="50"/>
      <c r="H14" s="51">
        <f t="shared" si="10"/>
        <v>0</v>
      </c>
      <c r="I14" s="52">
        <f t="shared" si="11"/>
        <v>0</v>
      </c>
      <c r="J14" s="207"/>
      <c r="K14" s="248">
        <f t="shared" si="2"/>
        <v>0</v>
      </c>
      <c r="L14" s="223"/>
      <c r="M14" s="206"/>
      <c r="N14" s="195">
        <f t="shared" si="12"/>
        <v>0</v>
      </c>
      <c r="O14" s="196">
        <f t="shared" si="13"/>
        <v>0</v>
      </c>
      <c r="P14" s="66"/>
      <c r="Q14" s="31">
        <f t="shared" si="3"/>
        <v>0</v>
      </c>
      <c r="R14" s="67"/>
      <c r="S14" s="56"/>
      <c r="T14" s="57">
        <f t="shared" si="14"/>
        <v>0</v>
      </c>
      <c r="U14" s="58">
        <f t="shared" si="15"/>
        <v>0</v>
      </c>
      <c r="V14" s="68"/>
      <c r="W14" s="60">
        <f t="shared" si="0"/>
        <v>0</v>
      </c>
      <c r="X14" s="69"/>
      <c r="Y14" s="62"/>
      <c r="Z14" s="63">
        <f t="shared" si="16"/>
        <v>0</v>
      </c>
      <c r="AA14" s="41">
        <f t="shared" si="17"/>
        <v>0</v>
      </c>
      <c r="AB14" s="42">
        <f t="shared" si="4"/>
        <v>0</v>
      </c>
      <c r="AC14" s="188">
        <f t="shared" si="5"/>
        <v>0</v>
      </c>
      <c r="AD14" s="70"/>
      <c r="AE14" s="64"/>
      <c r="AG14" s="218">
        <f t="shared" si="6"/>
        <v>0</v>
      </c>
      <c r="AI14" s="64">
        <f t="shared" si="7"/>
        <v>0</v>
      </c>
      <c r="AK14" s="142">
        <f t="shared" si="8"/>
        <v>0</v>
      </c>
      <c r="AM14" s="142">
        <f t="shared" si="9"/>
        <v>0</v>
      </c>
    </row>
    <row r="15" spans="1:39" x14ac:dyDescent="0.25">
      <c r="B15" s="174">
        <v>6320</v>
      </c>
      <c r="C15" s="46" t="s">
        <v>21</v>
      </c>
      <c r="D15" s="65"/>
      <c r="E15" s="48">
        <f t="shared" si="1"/>
        <v>0</v>
      </c>
      <c r="F15" s="49"/>
      <c r="G15" s="50"/>
      <c r="H15" s="51">
        <f t="shared" si="10"/>
        <v>0</v>
      </c>
      <c r="I15" s="52">
        <f t="shared" si="11"/>
        <v>0</v>
      </c>
      <c r="J15" s="207"/>
      <c r="K15" s="248">
        <f t="shared" si="2"/>
        <v>0</v>
      </c>
      <c r="L15" s="223"/>
      <c r="M15" s="206"/>
      <c r="N15" s="195">
        <f t="shared" si="12"/>
        <v>0</v>
      </c>
      <c r="O15" s="196">
        <f t="shared" si="13"/>
        <v>0</v>
      </c>
      <c r="P15" s="66"/>
      <c r="Q15" s="31">
        <f t="shared" si="3"/>
        <v>0</v>
      </c>
      <c r="R15" s="67"/>
      <c r="S15" s="56"/>
      <c r="T15" s="57">
        <f t="shared" si="14"/>
        <v>0</v>
      </c>
      <c r="U15" s="58">
        <f t="shared" si="15"/>
        <v>0</v>
      </c>
      <c r="V15" s="68"/>
      <c r="W15" s="60">
        <f t="shared" si="0"/>
        <v>0</v>
      </c>
      <c r="X15" s="69"/>
      <c r="Y15" s="62"/>
      <c r="Z15" s="63">
        <f t="shared" si="16"/>
        <v>0</v>
      </c>
      <c r="AA15" s="41">
        <f t="shared" si="17"/>
        <v>0</v>
      </c>
      <c r="AB15" s="42">
        <f t="shared" si="4"/>
        <v>0</v>
      </c>
      <c r="AC15" s="188">
        <f t="shared" si="5"/>
        <v>0</v>
      </c>
      <c r="AD15" s="70"/>
      <c r="AE15" s="64"/>
      <c r="AG15" s="218">
        <f t="shared" si="6"/>
        <v>0</v>
      </c>
      <c r="AI15" s="64">
        <f t="shared" si="7"/>
        <v>0</v>
      </c>
      <c r="AK15" s="142">
        <f t="shared" si="8"/>
        <v>0</v>
      </c>
      <c r="AM15" s="142">
        <f t="shared" si="9"/>
        <v>0</v>
      </c>
    </row>
    <row r="16" spans="1:39" x14ac:dyDescent="0.25">
      <c r="B16" s="174" t="s">
        <v>26</v>
      </c>
      <c r="C16" s="46" t="s">
        <v>33</v>
      </c>
      <c r="D16" s="65"/>
      <c r="E16" s="48">
        <v>0</v>
      </c>
      <c r="F16" s="49"/>
      <c r="G16" s="50"/>
      <c r="H16" s="51">
        <f t="shared" si="10"/>
        <v>0</v>
      </c>
      <c r="I16" s="52">
        <f t="shared" si="11"/>
        <v>0</v>
      </c>
      <c r="J16" s="207"/>
      <c r="K16" s="248">
        <v>0</v>
      </c>
      <c r="L16" s="223"/>
      <c r="M16" s="206"/>
      <c r="N16" s="195">
        <f t="shared" si="12"/>
        <v>0</v>
      </c>
      <c r="O16" s="196">
        <f t="shared" si="13"/>
        <v>0</v>
      </c>
      <c r="P16" s="66"/>
      <c r="Q16" s="31">
        <v>0</v>
      </c>
      <c r="R16" s="67"/>
      <c r="S16" s="56"/>
      <c r="T16" s="57">
        <f t="shared" si="14"/>
        <v>0</v>
      </c>
      <c r="U16" s="58">
        <v>0</v>
      </c>
      <c r="V16" s="68"/>
      <c r="W16" s="60">
        <v>0</v>
      </c>
      <c r="X16" s="69"/>
      <c r="Y16" s="62"/>
      <c r="Z16" s="63">
        <f>+X16+V16</f>
        <v>0</v>
      </c>
      <c r="AA16" s="41">
        <f>+Y16+W16</f>
        <v>0</v>
      </c>
      <c r="AB16" s="42">
        <f t="shared" si="4"/>
        <v>0</v>
      </c>
      <c r="AC16" s="188">
        <f t="shared" si="5"/>
        <v>0</v>
      </c>
      <c r="AD16" s="70"/>
      <c r="AE16" s="64"/>
      <c r="AG16" s="218">
        <f t="shared" si="6"/>
        <v>0</v>
      </c>
      <c r="AI16" s="64">
        <f t="shared" si="7"/>
        <v>0</v>
      </c>
      <c r="AK16" s="142">
        <f t="shared" si="8"/>
        <v>0</v>
      </c>
      <c r="AM16" s="142">
        <f t="shared" si="9"/>
        <v>0</v>
      </c>
    </row>
    <row r="17" spans="2:41" x14ac:dyDescent="0.25">
      <c r="B17" s="175">
        <v>14010</v>
      </c>
      <c r="C17" s="46" t="s">
        <v>23</v>
      </c>
      <c r="D17" s="65"/>
      <c r="E17" s="48">
        <f t="shared" si="1"/>
        <v>0</v>
      </c>
      <c r="F17" s="49"/>
      <c r="G17" s="50"/>
      <c r="H17" s="51">
        <f t="shared" si="10"/>
        <v>0</v>
      </c>
      <c r="I17" s="52">
        <f t="shared" si="11"/>
        <v>0</v>
      </c>
      <c r="J17" s="207"/>
      <c r="K17" s="248">
        <f t="shared" si="2"/>
        <v>0</v>
      </c>
      <c r="L17" s="223"/>
      <c r="M17" s="206"/>
      <c r="N17" s="195">
        <f t="shared" si="12"/>
        <v>0</v>
      </c>
      <c r="O17" s="196">
        <f t="shared" si="13"/>
        <v>0</v>
      </c>
      <c r="P17" s="66"/>
      <c r="Q17" s="31">
        <f t="shared" si="3"/>
        <v>0</v>
      </c>
      <c r="R17" s="67"/>
      <c r="S17" s="56"/>
      <c r="T17" s="57">
        <f t="shared" si="14"/>
        <v>0</v>
      </c>
      <c r="U17" s="58">
        <f t="shared" si="15"/>
        <v>0</v>
      </c>
      <c r="V17" s="68"/>
      <c r="W17" s="60">
        <f t="shared" si="0"/>
        <v>0</v>
      </c>
      <c r="X17" s="69"/>
      <c r="Y17" s="62"/>
      <c r="Z17" s="63">
        <f t="shared" si="16"/>
        <v>0</v>
      </c>
      <c r="AA17" s="41">
        <f t="shared" si="17"/>
        <v>0</v>
      </c>
      <c r="AB17" s="42">
        <f t="shared" si="4"/>
        <v>0</v>
      </c>
      <c r="AC17" s="188">
        <f t="shared" si="5"/>
        <v>0</v>
      </c>
      <c r="AD17" s="70"/>
      <c r="AE17" s="64"/>
      <c r="AG17" s="218">
        <f t="shared" si="6"/>
        <v>0</v>
      </c>
      <c r="AI17" s="64">
        <f t="shared" si="7"/>
        <v>0</v>
      </c>
      <c r="AK17" s="142">
        <f t="shared" si="8"/>
        <v>0</v>
      </c>
      <c r="AM17" s="142">
        <f t="shared" si="9"/>
        <v>0</v>
      </c>
    </row>
    <row r="18" spans="2:41" x14ac:dyDescent="0.25">
      <c r="B18" s="174">
        <v>11870</v>
      </c>
      <c r="C18" s="46" t="s">
        <v>24</v>
      </c>
      <c r="D18" s="65"/>
      <c r="E18" s="48">
        <f t="shared" si="1"/>
        <v>0</v>
      </c>
      <c r="F18" s="49"/>
      <c r="G18" s="50"/>
      <c r="H18" s="51">
        <f t="shared" si="10"/>
        <v>0</v>
      </c>
      <c r="I18" s="52">
        <f t="shared" si="11"/>
        <v>0</v>
      </c>
      <c r="J18" s="207"/>
      <c r="K18" s="248">
        <f t="shared" si="2"/>
        <v>0</v>
      </c>
      <c r="L18" s="223"/>
      <c r="M18" s="206"/>
      <c r="N18" s="195">
        <f t="shared" si="12"/>
        <v>0</v>
      </c>
      <c r="O18" s="196">
        <f t="shared" si="13"/>
        <v>0</v>
      </c>
      <c r="P18" s="66"/>
      <c r="Q18" s="31">
        <f t="shared" si="3"/>
        <v>0</v>
      </c>
      <c r="R18" s="67"/>
      <c r="S18" s="56"/>
      <c r="T18" s="57">
        <f t="shared" si="14"/>
        <v>0</v>
      </c>
      <c r="U18" s="58">
        <f t="shared" si="15"/>
        <v>0</v>
      </c>
      <c r="V18" s="68"/>
      <c r="W18" s="60">
        <f t="shared" si="0"/>
        <v>0</v>
      </c>
      <c r="X18" s="69"/>
      <c r="Y18" s="62"/>
      <c r="Z18" s="63">
        <f t="shared" si="16"/>
        <v>0</v>
      </c>
      <c r="AA18" s="41">
        <f t="shared" si="17"/>
        <v>0</v>
      </c>
      <c r="AB18" s="42">
        <f t="shared" si="4"/>
        <v>0</v>
      </c>
      <c r="AC18" s="188">
        <f t="shared" si="5"/>
        <v>0</v>
      </c>
      <c r="AD18" s="70"/>
      <c r="AE18" s="64"/>
      <c r="AG18" s="218">
        <f t="shared" si="6"/>
        <v>0</v>
      </c>
      <c r="AI18" s="64">
        <f t="shared" si="7"/>
        <v>0</v>
      </c>
      <c r="AK18" s="142">
        <f t="shared" si="8"/>
        <v>0</v>
      </c>
      <c r="AM18" s="142">
        <f t="shared" si="9"/>
        <v>0</v>
      </c>
    </row>
    <row r="19" spans="2:41" x14ac:dyDescent="0.25">
      <c r="B19" s="174">
        <v>6710</v>
      </c>
      <c r="C19" s="46" t="s">
        <v>0</v>
      </c>
      <c r="D19" s="65"/>
      <c r="E19" s="48">
        <f t="shared" si="1"/>
        <v>0</v>
      </c>
      <c r="F19" s="72"/>
      <c r="G19" s="50"/>
      <c r="H19" s="51">
        <f t="shared" si="10"/>
        <v>0</v>
      </c>
      <c r="I19" s="52">
        <f t="shared" si="11"/>
        <v>0</v>
      </c>
      <c r="J19" s="207"/>
      <c r="K19" s="248">
        <f t="shared" si="2"/>
        <v>0</v>
      </c>
      <c r="L19" s="224"/>
      <c r="M19" s="206"/>
      <c r="N19" s="195">
        <f t="shared" si="12"/>
        <v>0</v>
      </c>
      <c r="O19" s="196">
        <f t="shared" si="13"/>
        <v>0</v>
      </c>
      <c r="P19" s="66"/>
      <c r="Q19" s="31">
        <f t="shared" si="3"/>
        <v>0</v>
      </c>
      <c r="R19" s="73"/>
      <c r="S19" s="56"/>
      <c r="T19" s="57">
        <f t="shared" si="14"/>
        <v>0</v>
      </c>
      <c r="U19" s="58">
        <f t="shared" si="15"/>
        <v>0</v>
      </c>
      <c r="V19" s="68"/>
      <c r="W19" s="60">
        <f t="shared" si="0"/>
        <v>0</v>
      </c>
      <c r="X19" s="74"/>
      <c r="Y19" s="62"/>
      <c r="Z19" s="63">
        <f t="shared" si="16"/>
        <v>0</v>
      </c>
      <c r="AA19" s="41">
        <f t="shared" si="17"/>
        <v>0</v>
      </c>
      <c r="AB19" s="42">
        <f t="shared" si="4"/>
        <v>0</v>
      </c>
      <c r="AC19" s="188">
        <f t="shared" si="5"/>
        <v>0</v>
      </c>
      <c r="AD19" s="70"/>
      <c r="AE19" s="64"/>
      <c r="AF19" s="1" t="s">
        <v>25</v>
      </c>
      <c r="AG19" s="218">
        <f t="shared" si="6"/>
        <v>0</v>
      </c>
      <c r="AI19" s="64">
        <f t="shared" si="7"/>
        <v>0</v>
      </c>
      <c r="AK19" s="142">
        <f t="shared" si="8"/>
        <v>0</v>
      </c>
      <c r="AM19" s="142">
        <f t="shared" si="9"/>
        <v>0</v>
      </c>
    </row>
    <row r="20" spans="2:41" x14ac:dyDescent="0.25">
      <c r="B20" s="174" t="s">
        <v>26</v>
      </c>
      <c r="C20" s="46" t="s">
        <v>0</v>
      </c>
      <c r="D20" s="65"/>
      <c r="E20" s="48">
        <v>0</v>
      </c>
      <c r="F20" s="49"/>
      <c r="G20" s="50"/>
      <c r="H20" s="51">
        <f t="shared" si="10"/>
        <v>0</v>
      </c>
      <c r="I20" s="52">
        <f t="shared" si="11"/>
        <v>0</v>
      </c>
      <c r="J20" s="207"/>
      <c r="K20" s="248">
        <v>0</v>
      </c>
      <c r="L20" s="223"/>
      <c r="M20" s="206"/>
      <c r="N20" s="195">
        <f t="shared" si="12"/>
        <v>0</v>
      </c>
      <c r="O20" s="196">
        <f t="shared" si="13"/>
        <v>0</v>
      </c>
      <c r="P20" s="66"/>
      <c r="Q20" s="31">
        <v>0</v>
      </c>
      <c r="R20" s="67"/>
      <c r="S20" s="56"/>
      <c r="T20" s="57">
        <f t="shared" si="14"/>
        <v>0</v>
      </c>
      <c r="U20" s="58">
        <f t="shared" si="15"/>
        <v>0</v>
      </c>
      <c r="V20" s="68"/>
      <c r="W20" s="60">
        <v>0</v>
      </c>
      <c r="X20" s="69"/>
      <c r="Y20" s="62"/>
      <c r="Z20" s="63">
        <f t="shared" si="16"/>
        <v>0</v>
      </c>
      <c r="AA20" s="41">
        <f t="shared" si="17"/>
        <v>0</v>
      </c>
      <c r="AB20" s="42">
        <f t="shared" si="4"/>
        <v>0</v>
      </c>
      <c r="AC20" s="188">
        <f t="shared" si="5"/>
        <v>0</v>
      </c>
      <c r="AD20" s="70"/>
      <c r="AE20" s="64"/>
      <c r="AG20" s="218">
        <f t="shared" si="6"/>
        <v>0</v>
      </c>
      <c r="AI20" s="64">
        <f t="shared" si="7"/>
        <v>0</v>
      </c>
      <c r="AK20" s="142">
        <f t="shared" si="8"/>
        <v>0</v>
      </c>
      <c r="AM20" s="142">
        <f t="shared" si="9"/>
        <v>0</v>
      </c>
    </row>
    <row r="21" spans="2:41" x14ac:dyDescent="0.25">
      <c r="B21" s="174" t="s">
        <v>26</v>
      </c>
      <c r="C21" s="46" t="s">
        <v>28</v>
      </c>
      <c r="D21" s="65"/>
      <c r="E21" s="75">
        <v>0</v>
      </c>
      <c r="F21" s="49"/>
      <c r="G21" s="50"/>
      <c r="H21" s="51">
        <f t="shared" si="10"/>
        <v>0</v>
      </c>
      <c r="I21" s="52">
        <f t="shared" si="11"/>
        <v>0</v>
      </c>
      <c r="J21" s="207"/>
      <c r="K21" s="248">
        <v>0</v>
      </c>
      <c r="L21" s="223"/>
      <c r="M21" s="206"/>
      <c r="N21" s="195">
        <f t="shared" si="12"/>
        <v>0</v>
      </c>
      <c r="O21" s="196">
        <f t="shared" si="13"/>
        <v>0</v>
      </c>
      <c r="P21" s="66"/>
      <c r="Q21" s="31">
        <v>0</v>
      </c>
      <c r="R21" s="67"/>
      <c r="S21" s="56"/>
      <c r="T21" s="57">
        <f t="shared" si="14"/>
        <v>0</v>
      </c>
      <c r="U21" s="58">
        <f t="shared" si="15"/>
        <v>0</v>
      </c>
      <c r="V21" s="68"/>
      <c r="W21" s="60">
        <v>0</v>
      </c>
      <c r="X21" s="69"/>
      <c r="Y21" s="62"/>
      <c r="Z21" s="63">
        <f t="shared" si="16"/>
        <v>0</v>
      </c>
      <c r="AA21" s="41">
        <f t="shared" si="17"/>
        <v>0</v>
      </c>
      <c r="AB21" s="42">
        <f t="shared" si="4"/>
        <v>0</v>
      </c>
      <c r="AC21" s="188">
        <f t="shared" si="5"/>
        <v>0</v>
      </c>
      <c r="AD21" s="70"/>
      <c r="AE21" s="64"/>
      <c r="AG21" s="218">
        <f t="shared" si="6"/>
        <v>0</v>
      </c>
      <c r="AI21" s="64">
        <f t="shared" si="7"/>
        <v>0</v>
      </c>
      <c r="AK21" s="142">
        <f t="shared" si="8"/>
        <v>0</v>
      </c>
      <c r="AM21" s="142">
        <f t="shared" si="9"/>
        <v>0</v>
      </c>
    </row>
    <row r="22" spans="2:41" ht="15.75" thickBot="1" x14ac:dyDescent="0.3">
      <c r="B22" s="176" t="s">
        <v>26</v>
      </c>
      <c r="C22" s="76" t="s">
        <v>29</v>
      </c>
      <c r="D22" s="77"/>
      <c r="E22" s="78">
        <v>0</v>
      </c>
      <c r="F22" s="79"/>
      <c r="G22" s="80"/>
      <c r="H22" s="81">
        <f t="shared" si="10"/>
        <v>0</v>
      </c>
      <c r="I22" s="82">
        <f t="shared" si="11"/>
        <v>0</v>
      </c>
      <c r="J22" s="210"/>
      <c r="K22" s="250">
        <v>0</v>
      </c>
      <c r="L22" s="225"/>
      <c r="M22" s="213"/>
      <c r="N22" s="197">
        <f t="shared" si="12"/>
        <v>0</v>
      </c>
      <c r="O22" s="198">
        <f t="shared" si="13"/>
        <v>0</v>
      </c>
      <c r="P22" s="83"/>
      <c r="Q22" s="31">
        <v>0</v>
      </c>
      <c r="R22" s="85"/>
      <c r="S22" s="86"/>
      <c r="T22" s="87">
        <f t="shared" si="14"/>
        <v>0</v>
      </c>
      <c r="U22" s="88">
        <f t="shared" si="15"/>
        <v>0</v>
      </c>
      <c r="V22" s="89"/>
      <c r="W22" s="60">
        <v>0</v>
      </c>
      <c r="X22" s="90"/>
      <c r="Y22" s="91"/>
      <c r="Z22" s="92">
        <f t="shared" si="16"/>
        <v>0</v>
      </c>
      <c r="AA22" s="93">
        <f t="shared" si="17"/>
        <v>0</v>
      </c>
      <c r="AB22" s="42">
        <f t="shared" si="4"/>
        <v>0</v>
      </c>
      <c r="AC22" s="188">
        <f t="shared" si="5"/>
        <v>0</v>
      </c>
      <c r="AD22" s="70"/>
      <c r="AE22" s="94"/>
      <c r="AG22" s="219">
        <f t="shared" si="6"/>
        <v>0</v>
      </c>
      <c r="AI22" s="94">
        <f t="shared" si="7"/>
        <v>0</v>
      </c>
      <c r="AK22" s="144">
        <f t="shared" si="8"/>
        <v>0</v>
      </c>
      <c r="AM22" s="144">
        <f t="shared" si="9"/>
        <v>0</v>
      </c>
    </row>
    <row r="23" spans="2:41" ht="15.75" thickBot="1" x14ac:dyDescent="0.3">
      <c r="D23" s="95">
        <f t="shared" ref="D23:I23" si="18">SUM(D8:D22)</f>
        <v>0</v>
      </c>
      <c r="E23" s="96">
        <f t="shared" si="18"/>
        <v>0</v>
      </c>
      <c r="F23" s="95">
        <f t="shared" si="18"/>
        <v>0</v>
      </c>
      <c r="G23" s="97">
        <f t="shared" si="18"/>
        <v>0</v>
      </c>
      <c r="H23" s="98">
        <f t="shared" si="18"/>
        <v>0</v>
      </c>
      <c r="I23" s="99">
        <f t="shared" si="18"/>
        <v>0</v>
      </c>
      <c r="J23" s="214">
        <f t="shared" ref="J23:O23" si="19">SUM(J8:J22)</f>
        <v>0</v>
      </c>
      <c r="K23" s="226">
        <f t="shared" si="19"/>
        <v>0</v>
      </c>
      <c r="L23" s="214">
        <f t="shared" si="19"/>
        <v>0</v>
      </c>
      <c r="M23" s="216">
        <f t="shared" si="19"/>
        <v>0</v>
      </c>
      <c r="N23" s="217">
        <f t="shared" si="19"/>
        <v>0</v>
      </c>
      <c r="O23" s="99">
        <f t="shared" si="19"/>
        <v>0</v>
      </c>
      <c r="P23" s="100">
        <f t="shared" ref="P23:AA23" si="20">SUM(P8:P22)</f>
        <v>1</v>
      </c>
      <c r="Q23" s="101">
        <f t="shared" si="20"/>
        <v>6320</v>
      </c>
      <c r="R23" s="100">
        <f t="shared" si="20"/>
        <v>16</v>
      </c>
      <c r="S23" s="102">
        <f t="shared" si="20"/>
        <v>89667</v>
      </c>
      <c r="T23" s="103">
        <f t="shared" si="20"/>
        <v>17</v>
      </c>
      <c r="U23" s="104">
        <f t="shared" si="20"/>
        <v>95987</v>
      </c>
      <c r="V23" s="105">
        <f t="shared" si="20"/>
        <v>0</v>
      </c>
      <c r="W23" s="106">
        <f t="shared" si="20"/>
        <v>0</v>
      </c>
      <c r="X23" s="105">
        <f t="shared" si="20"/>
        <v>0</v>
      </c>
      <c r="Y23" s="107">
        <f t="shared" si="20"/>
        <v>0</v>
      </c>
      <c r="Z23" s="108">
        <f t="shared" si="20"/>
        <v>0</v>
      </c>
      <c r="AA23" s="104">
        <f t="shared" si="20"/>
        <v>0</v>
      </c>
      <c r="AB23" s="109" t="s">
        <v>9</v>
      </c>
      <c r="AC23" s="43">
        <f>SUM(AC8:AC22)</f>
        <v>95987</v>
      </c>
      <c r="AD23" s="70"/>
      <c r="AE23" s="1">
        <f>SUM(AE8:AE22)</f>
        <v>11453</v>
      </c>
      <c r="AI23" s="110"/>
      <c r="AK23" s="1">
        <f>SUM(AK8:AK22)</f>
        <v>16</v>
      </c>
      <c r="AM23" s="1">
        <f>SUM(AM8:AM22)</f>
        <v>1</v>
      </c>
      <c r="AO23" s="1">
        <f>+AK23+AM23</f>
        <v>17</v>
      </c>
    </row>
    <row r="24" spans="2:41" x14ac:dyDescent="0.25">
      <c r="G24" s="111"/>
      <c r="H24" s="111"/>
      <c r="I24" s="111"/>
      <c r="M24" s="111"/>
      <c r="N24" s="111"/>
      <c r="O24" s="111"/>
      <c r="P24" s="111"/>
      <c r="Q24" s="111"/>
      <c r="R24" s="112">
        <f>X23+F23+R23+L23</f>
        <v>16</v>
      </c>
      <c r="S24" s="113">
        <f>G23+Y23+S23+M23</f>
        <v>89667</v>
      </c>
      <c r="T24" s="111"/>
      <c r="U24" s="111"/>
      <c r="V24" s="111"/>
      <c r="W24" s="111"/>
      <c r="X24" s="111"/>
      <c r="Y24" s="111"/>
      <c r="Z24" s="111"/>
      <c r="AA24" s="111"/>
      <c r="AB24" s="2"/>
      <c r="AC24" s="70">
        <f>AA23+U23+I23+O23</f>
        <v>95987</v>
      </c>
      <c r="AD24" s="2"/>
    </row>
    <row r="25" spans="2:41" x14ac:dyDescent="0.25">
      <c r="D25" s="114" t="s">
        <v>30</v>
      </c>
      <c r="E25" s="114"/>
      <c r="G25" s="114"/>
      <c r="H25" s="114"/>
      <c r="I25" s="114"/>
      <c r="J25" s="114" t="s">
        <v>30</v>
      </c>
      <c r="K25" s="114"/>
      <c r="M25" s="114"/>
      <c r="N25" s="114"/>
      <c r="O25" s="114"/>
      <c r="P25" s="114"/>
      <c r="Q25" s="114"/>
      <c r="R25" s="114"/>
      <c r="S25" s="114"/>
      <c r="T25" s="114"/>
      <c r="U25" s="114"/>
      <c r="AA25" s="2"/>
      <c r="AB25" s="2"/>
      <c r="AC25" s="2"/>
      <c r="AD25" s="2"/>
    </row>
    <row r="26" spans="2:41" x14ac:dyDescent="0.25">
      <c r="D26" s="114"/>
      <c r="E26" s="114"/>
      <c r="J26" s="114"/>
      <c r="K26" s="114"/>
      <c r="P26" s="1"/>
      <c r="Q26" s="1"/>
      <c r="R26" s="1"/>
      <c r="S26" s="1"/>
      <c r="T26" s="1"/>
      <c r="U26" s="1"/>
      <c r="AA26" s="2"/>
      <c r="AB26" s="2"/>
      <c r="AC26" s="2"/>
      <c r="AD26" s="2"/>
    </row>
    <row r="27" spans="2:41" x14ac:dyDescent="0.25">
      <c r="C27" s="115">
        <v>20000</v>
      </c>
      <c r="D27" s="115"/>
      <c r="E27" s="115"/>
      <c r="F27" s="116"/>
      <c r="G27" s="117"/>
      <c r="H27" s="118"/>
      <c r="I27" s="119"/>
      <c r="J27" s="115"/>
      <c r="K27" s="115"/>
      <c r="L27" s="116"/>
      <c r="M27" s="117"/>
      <c r="N27" s="118"/>
      <c r="O27" s="119"/>
      <c r="P27" s="119"/>
      <c r="Q27" s="119"/>
      <c r="R27" s="119"/>
      <c r="S27" s="119"/>
      <c r="T27" s="119"/>
      <c r="U27" s="119">
        <v>80000</v>
      </c>
      <c r="V27" s="119"/>
      <c r="W27" s="119"/>
      <c r="X27" s="120"/>
      <c r="Y27" s="121"/>
      <c r="Z27" s="120"/>
      <c r="AA27" s="119"/>
      <c r="AB27" s="122"/>
      <c r="AC27" s="122"/>
      <c r="AD27" s="2"/>
      <c r="AE27" s="2"/>
      <c r="AF27" s="2"/>
    </row>
    <row r="28" spans="2:41" x14ac:dyDescent="0.25">
      <c r="C28" s="115">
        <v>10000</v>
      </c>
      <c r="D28" s="115"/>
      <c r="E28" s="115"/>
      <c r="F28" s="116"/>
      <c r="G28" s="117"/>
      <c r="H28" s="118"/>
      <c r="I28" s="119"/>
      <c r="J28" s="115"/>
      <c r="K28" s="115"/>
      <c r="L28" s="116"/>
      <c r="M28" s="117"/>
      <c r="N28" s="118"/>
      <c r="O28" s="119"/>
      <c r="P28" s="119"/>
      <c r="Q28" s="119"/>
      <c r="R28" s="119"/>
      <c r="S28" s="119"/>
      <c r="T28" s="119"/>
      <c r="U28" s="119">
        <v>0</v>
      </c>
      <c r="V28" s="119"/>
      <c r="W28" s="119"/>
      <c r="X28" s="120"/>
      <c r="Y28" s="122"/>
      <c r="Z28" s="120"/>
      <c r="AA28" s="119"/>
      <c r="AB28" s="122"/>
      <c r="AC28" s="122"/>
      <c r="AD28" s="2"/>
      <c r="AE28" s="2"/>
      <c r="AF28" s="2"/>
    </row>
    <row r="29" spans="2:41" x14ac:dyDescent="0.25">
      <c r="C29" s="115">
        <v>5000</v>
      </c>
      <c r="D29" s="115"/>
      <c r="E29" s="115"/>
      <c r="F29" s="116"/>
      <c r="G29" s="117"/>
      <c r="H29" s="118"/>
      <c r="I29" s="119"/>
      <c r="J29" s="115"/>
      <c r="K29" s="115"/>
      <c r="L29" s="116"/>
      <c r="M29" s="117"/>
      <c r="N29" s="118"/>
      <c r="O29" s="119"/>
      <c r="P29" s="119"/>
      <c r="Q29" s="119"/>
      <c r="R29" s="119"/>
      <c r="S29" s="119"/>
      <c r="T29" s="119"/>
      <c r="U29" s="119">
        <v>5000</v>
      </c>
      <c r="V29" s="119"/>
      <c r="W29" s="119"/>
      <c r="X29" s="120"/>
      <c r="Y29" s="121"/>
      <c r="Z29" s="120"/>
      <c r="AA29" s="119"/>
      <c r="AB29" s="122"/>
      <c r="AC29" s="122"/>
      <c r="AD29" s="2"/>
      <c r="AE29" s="2"/>
      <c r="AF29" s="2"/>
    </row>
    <row r="30" spans="2:41" x14ac:dyDescent="0.25">
      <c r="C30" s="115">
        <v>2000</v>
      </c>
      <c r="D30" s="115"/>
      <c r="E30" s="115"/>
      <c r="F30" s="116"/>
      <c r="G30" s="117"/>
      <c r="H30" s="118"/>
      <c r="I30" s="119"/>
      <c r="J30" s="115"/>
      <c r="K30" s="115"/>
      <c r="L30" s="116"/>
      <c r="M30" s="117"/>
      <c r="N30" s="118"/>
      <c r="O30" s="119"/>
      <c r="P30" s="119"/>
      <c r="Q30" s="119"/>
      <c r="R30" s="119"/>
      <c r="S30" s="119"/>
      <c r="T30" s="119"/>
      <c r="U30" s="119">
        <v>0</v>
      </c>
      <c r="V30" s="119"/>
      <c r="W30" s="119"/>
      <c r="X30" s="120"/>
      <c r="Y30" s="121"/>
      <c r="Z30" s="120"/>
      <c r="AA30" s="119"/>
      <c r="AB30" s="122"/>
      <c r="AC30" s="122"/>
      <c r="AD30" s="123"/>
    </row>
    <row r="31" spans="2:41" x14ac:dyDescent="0.25">
      <c r="C31" s="115">
        <v>1000</v>
      </c>
      <c r="D31" s="115"/>
      <c r="E31" s="115"/>
      <c r="F31" s="116"/>
      <c r="G31" s="117"/>
      <c r="H31" s="118"/>
      <c r="I31" s="124"/>
      <c r="J31" s="115"/>
      <c r="K31" s="115"/>
      <c r="L31" s="116"/>
      <c r="M31" s="117"/>
      <c r="N31" s="118"/>
      <c r="O31" s="124"/>
      <c r="P31" s="124"/>
      <c r="Q31" s="124"/>
      <c r="R31" s="124"/>
      <c r="S31" s="124"/>
      <c r="T31" s="124"/>
      <c r="U31" s="124">
        <v>4000</v>
      </c>
      <c r="V31" s="124"/>
      <c r="W31" s="124"/>
      <c r="X31" s="120"/>
      <c r="Y31" s="121"/>
      <c r="Z31" s="120"/>
      <c r="AA31" s="124"/>
      <c r="AB31" s="122"/>
      <c r="AC31" s="122"/>
      <c r="AD31" s="2" t="s">
        <v>38</v>
      </c>
    </row>
    <row r="32" spans="2:41" x14ac:dyDescent="0.25">
      <c r="C32" s="115">
        <v>500</v>
      </c>
      <c r="D32" s="115"/>
      <c r="E32" s="115"/>
      <c r="F32" s="116"/>
      <c r="G32" s="117"/>
      <c r="H32" s="118"/>
      <c r="I32" s="119"/>
      <c r="J32" s="115"/>
      <c r="K32" s="115"/>
      <c r="L32" s="116"/>
      <c r="M32" s="117"/>
      <c r="N32" s="118"/>
      <c r="O32" s="119"/>
      <c r="P32" s="119"/>
      <c r="Q32" s="119"/>
      <c r="R32" s="119"/>
      <c r="S32" s="119"/>
      <c r="T32" s="119"/>
      <c r="U32" s="119">
        <v>0</v>
      </c>
      <c r="V32" s="119"/>
      <c r="W32" s="119"/>
      <c r="X32" s="120"/>
      <c r="Y32" s="121"/>
      <c r="Z32" s="120"/>
      <c r="AA32" s="119"/>
      <c r="AB32" s="121"/>
      <c r="AC32" s="121"/>
      <c r="AD32" s="2"/>
    </row>
    <row r="33" spans="2:33" x14ac:dyDescent="0.25">
      <c r="C33" s="115">
        <v>100</v>
      </c>
      <c r="D33" s="115"/>
      <c r="E33" s="115"/>
      <c r="F33" s="116"/>
      <c r="G33" s="117"/>
      <c r="H33" s="118"/>
      <c r="I33" s="119"/>
      <c r="J33" s="115"/>
      <c r="K33" s="115"/>
      <c r="L33" s="116"/>
      <c r="M33" s="117"/>
      <c r="N33" s="118"/>
      <c r="O33" s="119"/>
      <c r="P33" s="119"/>
      <c r="Q33" s="119"/>
      <c r="R33" s="119"/>
      <c r="S33" s="119"/>
      <c r="T33" s="119"/>
      <c r="U33" s="119">
        <v>0</v>
      </c>
      <c r="V33" s="119"/>
      <c r="W33" s="119"/>
      <c r="X33" s="120"/>
      <c r="Y33" s="121"/>
      <c r="Z33" s="120"/>
      <c r="AA33" s="119"/>
      <c r="AB33" s="121"/>
      <c r="AC33" s="121"/>
      <c r="AD33" s="2"/>
    </row>
    <row r="34" spans="2:33" x14ac:dyDescent="0.25">
      <c r="C34" s="115">
        <v>50</v>
      </c>
      <c r="D34" s="115"/>
      <c r="E34" s="115"/>
      <c r="F34" s="116"/>
      <c r="G34" s="117"/>
      <c r="H34" s="118"/>
      <c r="I34" s="119"/>
      <c r="J34" s="115"/>
      <c r="K34" s="115"/>
      <c r="L34" s="116"/>
      <c r="M34" s="117"/>
      <c r="N34" s="118"/>
      <c r="O34" s="119"/>
      <c r="P34" s="119"/>
      <c r="Q34" s="119"/>
      <c r="R34" s="119"/>
      <c r="S34" s="119"/>
      <c r="T34" s="119"/>
      <c r="U34" s="119">
        <v>0</v>
      </c>
      <c r="V34" s="119"/>
      <c r="W34" s="119"/>
      <c r="X34" s="120"/>
      <c r="Y34" s="121"/>
      <c r="Z34" s="120"/>
      <c r="AA34" s="119"/>
      <c r="AB34" s="121"/>
      <c r="AC34" s="121"/>
      <c r="AD34" s="2"/>
    </row>
    <row r="35" spans="2:33" x14ac:dyDescent="0.25">
      <c r="C35" s="115">
        <v>10</v>
      </c>
      <c r="D35" s="115"/>
      <c r="E35" s="115"/>
      <c r="F35" s="116"/>
      <c r="G35" s="117"/>
      <c r="H35" s="118"/>
      <c r="I35" s="119"/>
      <c r="J35" s="115"/>
      <c r="K35" s="115"/>
      <c r="L35" s="116"/>
      <c r="M35" s="117"/>
      <c r="N35" s="118"/>
      <c r="O35" s="119"/>
      <c r="P35" s="119"/>
      <c r="Q35" s="119"/>
      <c r="R35" s="119"/>
      <c r="S35" s="119"/>
      <c r="T35" s="119"/>
      <c r="U35" s="119">
        <v>40</v>
      </c>
      <c r="V35" s="119"/>
      <c r="W35" s="119"/>
      <c r="X35" s="120"/>
      <c r="Y35" s="121"/>
      <c r="Z35" s="120"/>
      <c r="AA35" s="119"/>
      <c r="AB35" s="121"/>
      <c r="AC35" s="121"/>
      <c r="AD35" s="2"/>
      <c r="AG35" s="1" t="s">
        <v>25</v>
      </c>
    </row>
    <row r="36" spans="2:33" x14ac:dyDescent="0.25">
      <c r="C36" s="1" t="s">
        <v>32</v>
      </c>
      <c r="E36" s="131"/>
      <c r="G36" s="125"/>
      <c r="H36" s="118"/>
      <c r="I36" s="124"/>
      <c r="K36" s="131"/>
      <c r="M36" s="125"/>
      <c r="N36" s="118"/>
      <c r="O36" s="124"/>
      <c r="P36" s="124"/>
      <c r="Q36" s="124"/>
      <c r="R36" s="124"/>
      <c r="S36" s="124"/>
      <c r="T36" s="124"/>
      <c r="U36" s="124">
        <f>6952-5</f>
        <v>6947</v>
      </c>
      <c r="V36" s="124"/>
      <c r="W36" s="124"/>
      <c r="X36" s="120"/>
      <c r="Y36" s="124"/>
      <c r="Z36" s="120"/>
      <c r="AA36" s="124"/>
      <c r="AB36" s="124"/>
      <c r="AC36" s="124"/>
      <c r="AD36" s="2"/>
    </row>
    <row r="37" spans="2:33" s="114" customFormat="1" ht="15.75" x14ac:dyDescent="0.25">
      <c r="F37" s="126"/>
      <c r="G37" s="127"/>
      <c r="I37" s="128">
        <f>SUM(I27:I36)</f>
        <v>0</v>
      </c>
      <c r="L37" s="126"/>
      <c r="M37" s="127"/>
      <c r="O37" s="128">
        <f>SUM(O27:O36)</f>
        <v>0</v>
      </c>
      <c r="P37" s="116"/>
      <c r="Q37" s="116"/>
      <c r="R37" s="116"/>
      <c r="S37" s="116"/>
      <c r="T37" s="116"/>
      <c r="U37" s="128">
        <f>SUM(U27:U36)</f>
        <v>95987</v>
      </c>
      <c r="V37" s="116"/>
      <c r="W37" s="116"/>
      <c r="X37" s="123"/>
      <c r="Y37" s="116"/>
      <c r="Z37" s="123"/>
      <c r="AA37" s="128">
        <f>SUM(AA27:AA36)</f>
        <v>0</v>
      </c>
      <c r="AB37" s="129"/>
      <c r="AC37" s="125">
        <f>+I37+U37+AA37+O37</f>
        <v>95987</v>
      </c>
    </row>
    <row r="38" spans="2:33" x14ac:dyDescent="0.25">
      <c r="B38" s="2"/>
      <c r="C38" s="2"/>
      <c r="D38" s="2"/>
      <c r="E38" s="70"/>
      <c r="F38" s="2"/>
      <c r="G38" s="2"/>
      <c r="H38" s="2"/>
      <c r="I38" s="2"/>
      <c r="J38" s="2"/>
      <c r="K38" s="70"/>
      <c r="L38" s="2"/>
      <c r="M38" s="2"/>
      <c r="N38" s="2"/>
      <c r="O38" s="2"/>
      <c r="X38" s="70"/>
      <c r="AA38" s="2"/>
      <c r="AB38" s="130"/>
      <c r="AC38" s="131">
        <f>AC37-AC24</f>
        <v>0</v>
      </c>
    </row>
    <row r="39" spans="2:33" x14ac:dyDescent="0.25">
      <c r="B39" s="2"/>
      <c r="C39" s="2"/>
      <c r="D39" s="2"/>
      <c r="E39" s="70"/>
      <c r="F39" s="2"/>
      <c r="G39" s="2"/>
      <c r="H39" s="2"/>
      <c r="I39" s="129"/>
      <c r="J39" s="2"/>
      <c r="K39" s="70"/>
      <c r="L39" s="2"/>
      <c r="M39" s="2"/>
      <c r="N39" s="2"/>
      <c r="O39" s="129"/>
      <c r="P39" s="2" t="s">
        <v>38</v>
      </c>
      <c r="U39" s="129"/>
      <c r="X39" s="70"/>
      <c r="AA39" s="2"/>
      <c r="AB39" s="130"/>
      <c r="AC39" s="131"/>
    </row>
    <row r="40" spans="2:33" x14ac:dyDescent="0.25">
      <c r="E40" s="110"/>
      <c r="Q40" s="133"/>
      <c r="Y40" s="1"/>
      <c r="Z40" s="1"/>
    </row>
    <row r="41" spans="2:33" x14ac:dyDescent="0.25">
      <c r="S41" s="129"/>
      <c r="T41" s="129"/>
      <c r="U41" s="129"/>
      <c r="W41" s="130"/>
    </row>
  </sheetData>
  <mergeCells count="11">
    <mergeCell ref="B6:B7"/>
    <mergeCell ref="C6:C7"/>
    <mergeCell ref="D6:I6"/>
    <mergeCell ref="J6:O6"/>
    <mergeCell ref="P6:U6"/>
    <mergeCell ref="AB6:AB7"/>
    <mergeCell ref="AC6:AC7"/>
    <mergeCell ref="AE6:AE7"/>
    <mergeCell ref="Q3:T3"/>
    <mergeCell ref="C4:D4"/>
    <mergeCell ref="V6:AA6"/>
  </mergeCells>
  <pageMargins left="0.39370078740157483" right="0.39370078740157483" top="0.19685039370078741" bottom="0.19685039370078741" header="0" footer="0"/>
  <pageSetup paperSize="9" orientation="landscape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1">
    <pageSetUpPr fitToPage="1"/>
  </sheetPr>
  <dimension ref="A1:AO41"/>
  <sheetViews>
    <sheetView workbookViewId="0">
      <pane xSplit="3" topLeftCell="D1" activePane="topRight" state="frozen"/>
      <selection activeCell="M17" sqref="M17"/>
      <selection pane="topRight" activeCell="Q16" sqref="Q16"/>
    </sheetView>
  </sheetViews>
  <sheetFormatPr baseColWidth="10" defaultRowHeight="15" x14ac:dyDescent="0.25"/>
  <cols>
    <col min="1" max="1" width="1.7109375" style="1" customWidth="1"/>
    <col min="2" max="2" width="10" style="1" customWidth="1"/>
    <col min="3" max="3" width="29.140625" style="1" customWidth="1"/>
    <col min="4" max="4" width="5.7109375" style="1" customWidth="1"/>
    <col min="5" max="5" width="10.7109375" style="1" customWidth="1"/>
    <col min="6" max="6" width="5.7109375" style="1" customWidth="1"/>
    <col min="7" max="7" width="10.7109375" style="1" customWidth="1"/>
    <col min="8" max="8" width="5.7109375" style="1" customWidth="1"/>
    <col min="9" max="9" width="10.7109375" style="1" customWidth="1"/>
    <col min="10" max="10" width="5.7109375" style="1" hidden="1" customWidth="1"/>
    <col min="11" max="11" width="10.7109375" style="1" hidden="1" customWidth="1"/>
    <col min="12" max="12" width="5.7109375" style="1" hidden="1" customWidth="1"/>
    <col min="13" max="13" width="10.7109375" style="1" hidden="1" customWidth="1"/>
    <col min="14" max="14" width="5.7109375" style="1" hidden="1" customWidth="1"/>
    <col min="15" max="15" width="10.7109375" style="1" hidden="1" customWidth="1"/>
    <col min="16" max="16" width="5.7109375" style="2" customWidth="1"/>
    <col min="17" max="17" width="10.7109375" style="2" customWidth="1"/>
    <col min="18" max="18" width="5.7109375" style="2" customWidth="1"/>
    <col min="19" max="19" width="10.7109375" style="2" customWidth="1"/>
    <col min="20" max="20" width="5.7109375" style="2" customWidth="1"/>
    <col min="21" max="21" width="10.7109375" style="2" customWidth="1"/>
    <col min="22" max="22" width="5.7109375" style="2" customWidth="1"/>
    <col min="23" max="23" width="10.7109375" style="2" customWidth="1"/>
    <col min="24" max="24" width="5.7109375" style="2" customWidth="1"/>
    <col min="25" max="25" width="10.7109375" style="2" customWidth="1"/>
    <col min="26" max="26" width="5.7109375" style="2" customWidth="1"/>
    <col min="27" max="27" width="10.7109375" style="1" customWidth="1"/>
    <col min="28" max="28" width="9.5703125" style="1" customWidth="1"/>
    <col min="29" max="29" width="14.5703125" style="1" bestFit="1" customWidth="1"/>
    <col min="30" max="30" width="3.28515625" style="1" customWidth="1"/>
    <col min="31" max="31" width="11.42578125" style="1"/>
    <col min="32" max="32" width="3.7109375" style="1" customWidth="1"/>
    <col min="33" max="33" width="10.140625" style="1" customWidth="1"/>
    <col min="34" max="34" width="3.7109375" style="1" customWidth="1"/>
    <col min="35" max="35" width="11.42578125" style="1"/>
    <col min="36" max="36" width="3.7109375" style="1" customWidth="1"/>
    <col min="37" max="37" width="5.7109375" style="1" customWidth="1"/>
    <col min="38" max="38" width="3.7109375" style="1" customWidth="1"/>
    <col min="39" max="39" width="5.7109375" style="1" customWidth="1"/>
    <col min="40" max="40" width="3.7109375" style="1" customWidth="1"/>
    <col min="41" max="41" width="5.7109375" style="1" customWidth="1"/>
    <col min="42" max="16384" width="11.42578125" style="1"/>
  </cols>
  <sheetData>
    <row r="1" spans="1:39" ht="5.25" customHeight="1" x14ac:dyDescent="0.25">
      <c r="Y1" s="1"/>
      <c r="Z1" s="1"/>
    </row>
    <row r="2" spans="1:39" ht="21" x14ac:dyDescent="0.35">
      <c r="B2" s="3" t="s">
        <v>0</v>
      </c>
      <c r="P2" s="1"/>
      <c r="Q2" s="4"/>
      <c r="Z2" s="1"/>
    </row>
    <row r="3" spans="1:39" ht="15" customHeight="1" x14ac:dyDescent="0.25">
      <c r="A3" s="5"/>
      <c r="B3" s="6" t="s">
        <v>1</v>
      </c>
      <c r="C3" s="7"/>
      <c r="D3" s="7"/>
      <c r="E3" s="7"/>
      <c r="F3" s="7"/>
      <c r="P3" s="1"/>
      <c r="Q3" s="353"/>
      <c r="R3" s="353"/>
      <c r="S3" s="353"/>
      <c r="T3" s="353"/>
      <c r="U3" s="252"/>
      <c r="V3" s="252"/>
      <c r="Z3" s="1"/>
    </row>
    <row r="4" spans="1:39" ht="18" customHeight="1" x14ac:dyDescent="0.25">
      <c r="B4" s="253" t="s">
        <v>2</v>
      </c>
      <c r="C4" s="354" t="s">
        <v>68</v>
      </c>
      <c r="D4" s="355"/>
      <c r="E4" s="253"/>
      <c r="F4" s="253"/>
      <c r="P4" s="1"/>
      <c r="Q4" s="9"/>
      <c r="R4" s="10"/>
      <c r="S4" s="9"/>
      <c r="T4" s="9"/>
      <c r="U4" s="9"/>
      <c r="V4" s="9"/>
      <c r="Z4" s="1"/>
    </row>
    <row r="5" spans="1:39" ht="15.75" thickBot="1" x14ac:dyDescent="0.3">
      <c r="A5" s="253"/>
      <c r="B5" s="253"/>
      <c r="C5" s="253"/>
      <c r="D5" s="253"/>
      <c r="E5" s="253"/>
      <c r="J5" s="253"/>
      <c r="K5" s="253"/>
      <c r="P5" s="1"/>
      <c r="Q5" s="1"/>
      <c r="R5" s="1"/>
      <c r="S5" s="1"/>
      <c r="T5" s="1"/>
      <c r="U5" s="1"/>
      <c r="V5" s="9"/>
      <c r="W5" s="9"/>
      <c r="X5" s="9"/>
      <c r="Y5" s="9"/>
      <c r="Z5" s="9"/>
      <c r="AA5" s="9"/>
      <c r="AB5" s="2"/>
      <c r="AC5" s="2"/>
      <c r="AD5" s="2"/>
    </row>
    <row r="6" spans="1:39" ht="27.75" customHeight="1" thickBot="1" x14ac:dyDescent="0.3">
      <c r="B6" s="356" t="s">
        <v>3</v>
      </c>
      <c r="C6" s="343" t="s">
        <v>4</v>
      </c>
      <c r="D6" s="358" t="s">
        <v>36</v>
      </c>
      <c r="E6" s="359"/>
      <c r="F6" s="360"/>
      <c r="G6" s="360"/>
      <c r="H6" s="360"/>
      <c r="I6" s="361"/>
      <c r="J6" s="370" t="s">
        <v>37</v>
      </c>
      <c r="K6" s="371"/>
      <c r="L6" s="372"/>
      <c r="M6" s="372"/>
      <c r="N6" s="372"/>
      <c r="O6" s="373"/>
      <c r="P6" s="362" t="s">
        <v>42</v>
      </c>
      <c r="Q6" s="363"/>
      <c r="R6" s="364"/>
      <c r="S6" s="364"/>
      <c r="T6" s="364"/>
      <c r="U6" s="365"/>
      <c r="V6" s="366" t="s">
        <v>31</v>
      </c>
      <c r="W6" s="367"/>
      <c r="X6" s="368"/>
      <c r="Y6" s="368"/>
      <c r="Z6" s="368"/>
      <c r="AA6" s="369"/>
      <c r="AB6" s="349" t="s">
        <v>5</v>
      </c>
      <c r="AC6" s="349" t="s">
        <v>6</v>
      </c>
      <c r="AD6" s="2"/>
      <c r="AE6" s="351" t="s">
        <v>7</v>
      </c>
      <c r="AF6" s="2"/>
    </row>
    <row r="7" spans="1:39" ht="25.5" customHeight="1" thickBot="1" x14ac:dyDescent="0.3">
      <c r="B7" s="357"/>
      <c r="C7" s="344"/>
      <c r="D7" s="11" t="s">
        <v>8</v>
      </c>
      <c r="E7" s="12" t="s">
        <v>9</v>
      </c>
      <c r="F7" s="13" t="s">
        <v>8</v>
      </c>
      <c r="G7" s="14" t="s">
        <v>9</v>
      </c>
      <c r="H7" s="11" t="s">
        <v>5</v>
      </c>
      <c r="I7" s="14" t="s">
        <v>10</v>
      </c>
      <c r="J7" s="190" t="s">
        <v>8</v>
      </c>
      <c r="K7" s="192" t="s">
        <v>9</v>
      </c>
      <c r="L7" s="191" t="s">
        <v>8</v>
      </c>
      <c r="M7" s="192" t="s">
        <v>9</v>
      </c>
      <c r="N7" s="190" t="s">
        <v>5</v>
      </c>
      <c r="O7" s="192" t="s">
        <v>10</v>
      </c>
      <c r="P7" s="15" t="s">
        <v>8</v>
      </c>
      <c r="Q7" s="16" t="s">
        <v>9</v>
      </c>
      <c r="R7" s="17" t="s">
        <v>8</v>
      </c>
      <c r="S7" s="16" t="s">
        <v>9</v>
      </c>
      <c r="T7" s="15" t="s">
        <v>5</v>
      </c>
      <c r="U7" s="16" t="s">
        <v>10</v>
      </c>
      <c r="V7" s="18" t="s">
        <v>8</v>
      </c>
      <c r="W7" s="19" t="s">
        <v>9</v>
      </c>
      <c r="X7" s="20" t="s">
        <v>8</v>
      </c>
      <c r="Y7" s="21" t="s">
        <v>9</v>
      </c>
      <c r="Z7" s="18" t="s">
        <v>5</v>
      </c>
      <c r="AA7" s="21" t="s">
        <v>10</v>
      </c>
      <c r="AB7" s="350"/>
      <c r="AC7" s="350"/>
      <c r="AD7" s="2"/>
      <c r="AE7" s="352"/>
      <c r="AG7" s="22" t="s">
        <v>11</v>
      </c>
      <c r="AI7" s="22" t="s">
        <v>12</v>
      </c>
    </row>
    <row r="8" spans="1:39" x14ac:dyDescent="0.25">
      <c r="B8" s="173">
        <v>6320</v>
      </c>
      <c r="C8" s="157" t="s">
        <v>13</v>
      </c>
      <c r="D8" s="24"/>
      <c r="E8" s="25">
        <f>+D8*B8</f>
        <v>0</v>
      </c>
      <c r="F8" s="26">
        <v>4</v>
      </c>
      <c r="G8" s="27">
        <f>4*6320</f>
        <v>25280</v>
      </c>
      <c r="H8" s="28">
        <f>D8+F8</f>
        <v>4</v>
      </c>
      <c r="I8" s="29">
        <f>E8+G8</f>
        <v>25280</v>
      </c>
      <c r="J8" s="199"/>
      <c r="K8" s="249">
        <f>+J8*B8</f>
        <v>0</v>
      </c>
      <c r="L8" s="222"/>
      <c r="M8" s="202"/>
      <c r="N8" s="193">
        <f>J8+L8</f>
        <v>0</v>
      </c>
      <c r="O8" s="194">
        <f>K8+M8</f>
        <v>0</v>
      </c>
      <c r="P8" s="30"/>
      <c r="Q8" s="33">
        <f>+P8*B8</f>
        <v>0</v>
      </c>
      <c r="R8" s="32">
        <v>3</v>
      </c>
      <c r="S8" s="33">
        <f>6320*3</f>
        <v>18960</v>
      </c>
      <c r="T8" s="34">
        <f>P8+R8</f>
        <v>3</v>
      </c>
      <c r="U8" s="35">
        <f>Q8+S8</f>
        <v>18960</v>
      </c>
      <c r="V8" s="36"/>
      <c r="W8" s="37">
        <f t="shared" ref="W8:W19" si="0">+V8*B8</f>
        <v>0</v>
      </c>
      <c r="X8" s="38">
        <v>15</v>
      </c>
      <c r="Y8" s="39">
        <f>6320*15</f>
        <v>94800</v>
      </c>
      <c r="Z8" s="40">
        <f>V8+X8</f>
        <v>15</v>
      </c>
      <c r="AA8" s="41">
        <f>Y8+W8</f>
        <v>94800</v>
      </c>
      <c r="AB8" s="152">
        <f>+D8+F8+P8+R8+V8+X8+J8+L8</f>
        <v>22</v>
      </c>
      <c r="AC8" s="220">
        <f>+E8+G8+Q8+S8+W8+Y8+K8+M8</f>
        <v>139040</v>
      </c>
      <c r="AD8" s="44"/>
      <c r="AE8" s="45"/>
      <c r="AG8" s="187">
        <f>E8+W8+Q8+K8</f>
        <v>0</v>
      </c>
      <c r="AI8" s="156">
        <f>G8+Y8+S8+M8</f>
        <v>139040</v>
      </c>
      <c r="AK8" s="139">
        <f>F8+R8+X8+L8</f>
        <v>22</v>
      </c>
      <c r="AM8" s="139">
        <f>+D8+P8+V8+J8</f>
        <v>0</v>
      </c>
    </row>
    <row r="9" spans="1:39" x14ac:dyDescent="0.25">
      <c r="B9" s="174">
        <v>6320</v>
      </c>
      <c r="C9" s="180" t="s">
        <v>14</v>
      </c>
      <c r="D9" s="47"/>
      <c r="E9" s="48">
        <f t="shared" ref="E9:E19" si="1">+D9*B9</f>
        <v>0</v>
      </c>
      <c r="F9" s="49">
        <v>1</v>
      </c>
      <c r="G9" s="50">
        <v>6320</v>
      </c>
      <c r="H9" s="51">
        <f>D9+F9</f>
        <v>1</v>
      </c>
      <c r="I9" s="52">
        <f>G9+E9</f>
        <v>6320</v>
      </c>
      <c r="J9" s="203"/>
      <c r="K9" s="248">
        <f t="shared" ref="K9:K19" si="2">+J9*B9</f>
        <v>0</v>
      </c>
      <c r="L9" s="223"/>
      <c r="M9" s="206"/>
      <c r="N9" s="195">
        <f>J9+L9</f>
        <v>0</v>
      </c>
      <c r="O9" s="196">
        <f>M9+K9</f>
        <v>0</v>
      </c>
      <c r="P9" s="53"/>
      <c r="Q9" s="56">
        <f t="shared" ref="Q9:Q19" si="3">+P9*B9</f>
        <v>0</v>
      </c>
      <c r="R9" s="55">
        <v>1</v>
      </c>
      <c r="S9" s="56">
        <v>6320</v>
      </c>
      <c r="T9" s="57">
        <f>P9+R9</f>
        <v>1</v>
      </c>
      <c r="U9" s="58">
        <f>S9+Q9</f>
        <v>6320</v>
      </c>
      <c r="V9" s="59"/>
      <c r="W9" s="60">
        <f t="shared" si="0"/>
        <v>0</v>
      </c>
      <c r="X9" s="61">
        <v>10</v>
      </c>
      <c r="Y9" s="62">
        <f>6320*9+2530</f>
        <v>59410</v>
      </c>
      <c r="Z9" s="63">
        <f>V9+X9</f>
        <v>10</v>
      </c>
      <c r="AA9" s="41">
        <f>Y9+W9</f>
        <v>59410</v>
      </c>
      <c r="AB9" s="152">
        <f t="shared" ref="AB9:AB22" si="4">+D9+F9+P9+R9+V9+X9+J9+L9</f>
        <v>12</v>
      </c>
      <c r="AC9" s="339">
        <f t="shared" ref="AC9:AC22" si="5">+E9+G9+Q9+S9+W9+Y9+K9+M9</f>
        <v>72050</v>
      </c>
      <c r="AD9" s="44"/>
      <c r="AE9" s="151">
        <v>3790</v>
      </c>
      <c r="AG9" s="251">
        <f t="shared" ref="AG9:AG22" si="6">E9+W9+Q9+K9</f>
        <v>0</v>
      </c>
      <c r="AI9" s="151">
        <f t="shared" ref="AI9:AI22" si="7">G9+Y9+S9+M9</f>
        <v>72050</v>
      </c>
      <c r="AK9" s="142">
        <f t="shared" ref="AK9:AK22" si="8">F9+R9+X9+L9</f>
        <v>12</v>
      </c>
      <c r="AM9" s="142">
        <f t="shared" ref="AM9:AM22" si="9">+D9+P9+V9+J9</f>
        <v>0</v>
      </c>
    </row>
    <row r="10" spans="1:39" x14ac:dyDescent="0.25">
      <c r="B10" s="174">
        <v>6320</v>
      </c>
      <c r="C10" s="153" t="s">
        <v>16</v>
      </c>
      <c r="D10" s="47"/>
      <c r="E10" s="48">
        <f t="shared" si="1"/>
        <v>0</v>
      </c>
      <c r="F10" s="49"/>
      <c r="G10" s="50"/>
      <c r="H10" s="51">
        <f t="shared" ref="H10:H22" si="10">D10+F10</f>
        <v>0</v>
      </c>
      <c r="I10" s="52">
        <f t="shared" ref="I10:I22" si="11">G10+E10</f>
        <v>0</v>
      </c>
      <c r="J10" s="203"/>
      <c r="K10" s="248">
        <f t="shared" si="2"/>
        <v>0</v>
      </c>
      <c r="L10" s="223"/>
      <c r="M10" s="206"/>
      <c r="N10" s="195">
        <f t="shared" ref="N10:N22" si="12">J10+L10</f>
        <v>0</v>
      </c>
      <c r="O10" s="196">
        <f t="shared" ref="O10:O22" si="13">M10+K10</f>
        <v>0</v>
      </c>
      <c r="P10" s="53"/>
      <c r="Q10" s="56">
        <f t="shared" si="3"/>
        <v>0</v>
      </c>
      <c r="R10" s="55">
        <v>3</v>
      </c>
      <c r="S10" s="56">
        <f>6320*3</f>
        <v>18960</v>
      </c>
      <c r="T10" s="57">
        <f t="shared" ref="T10:T22" si="14">P10+R10</f>
        <v>3</v>
      </c>
      <c r="U10" s="58">
        <f t="shared" ref="U10:U22" si="15">S10+Q10</f>
        <v>18960</v>
      </c>
      <c r="V10" s="59"/>
      <c r="W10" s="60">
        <f t="shared" si="0"/>
        <v>0</v>
      </c>
      <c r="X10" s="61">
        <v>8</v>
      </c>
      <c r="Y10" s="62">
        <f>6320*8</f>
        <v>50560</v>
      </c>
      <c r="Z10" s="63">
        <f t="shared" ref="Z10:Z22" si="16">V10+X10</f>
        <v>8</v>
      </c>
      <c r="AA10" s="41">
        <f t="shared" ref="AA10:AA22" si="17">Y10+W10</f>
        <v>50560</v>
      </c>
      <c r="AB10" s="152">
        <f t="shared" si="4"/>
        <v>11</v>
      </c>
      <c r="AC10" s="220">
        <f t="shared" si="5"/>
        <v>69520</v>
      </c>
      <c r="AD10" s="44"/>
      <c r="AE10" s="64"/>
      <c r="AG10" s="218">
        <f t="shared" si="6"/>
        <v>0</v>
      </c>
      <c r="AI10" s="151">
        <f t="shared" si="7"/>
        <v>69520</v>
      </c>
      <c r="AK10" s="142">
        <f t="shared" si="8"/>
        <v>11</v>
      </c>
      <c r="AM10" s="142">
        <f t="shared" si="9"/>
        <v>0</v>
      </c>
    </row>
    <row r="11" spans="1:39" x14ac:dyDescent="0.25">
      <c r="B11" s="174">
        <v>6320</v>
      </c>
      <c r="C11" s="153" t="s">
        <v>17</v>
      </c>
      <c r="D11" s="65"/>
      <c r="E11" s="48">
        <f t="shared" si="1"/>
        <v>0</v>
      </c>
      <c r="F11" s="49">
        <v>3</v>
      </c>
      <c r="G11" s="50">
        <f>6320*2+2528</f>
        <v>15168</v>
      </c>
      <c r="H11" s="51">
        <f t="shared" si="10"/>
        <v>3</v>
      </c>
      <c r="I11" s="52">
        <f t="shared" si="11"/>
        <v>15168</v>
      </c>
      <c r="J11" s="207"/>
      <c r="K11" s="248">
        <f t="shared" si="2"/>
        <v>0</v>
      </c>
      <c r="L11" s="223"/>
      <c r="M11" s="206"/>
      <c r="N11" s="195">
        <f t="shared" si="12"/>
        <v>0</v>
      </c>
      <c r="O11" s="196">
        <f t="shared" si="13"/>
        <v>0</v>
      </c>
      <c r="P11" s="66"/>
      <c r="Q11" s="56">
        <f t="shared" si="3"/>
        <v>0</v>
      </c>
      <c r="R11" s="67">
        <v>9</v>
      </c>
      <c r="S11" s="56">
        <f>6320*8+2528</f>
        <v>53088</v>
      </c>
      <c r="T11" s="57">
        <f t="shared" si="14"/>
        <v>9</v>
      </c>
      <c r="U11" s="58">
        <f t="shared" si="15"/>
        <v>53088</v>
      </c>
      <c r="V11" s="68"/>
      <c r="W11" s="60">
        <f t="shared" si="0"/>
        <v>0</v>
      </c>
      <c r="X11" s="69">
        <v>9</v>
      </c>
      <c r="Y11" s="62">
        <f>6320*8+3715</f>
        <v>54275</v>
      </c>
      <c r="Z11" s="63">
        <f t="shared" si="16"/>
        <v>9</v>
      </c>
      <c r="AA11" s="41">
        <f t="shared" si="17"/>
        <v>54275</v>
      </c>
      <c r="AB11" s="152">
        <f t="shared" si="4"/>
        <v>21</v>
      </c>
      <c r="AC11" s="220">
        <f t="shared" si="5"/>
        <v>122531</v>
      </c>
      <c r="AD11" s="70"/>
      <c r="AE11" s="151">
        <f>3792*2+2605</f>
        <v>10189</v>
      </c>
      <c r="AG11" s="218">
        <f t="shared" si="6"/>
        <v>0</v>
      </c>
      <c r="AI11" s="151">
        <f t="shared" si="7"/>
        <v>122531</v>
      </c>
      <c r="AK11" s="142">
        <f t="shared" si="8"/>
        <v>21</v>
      </c>
      <c r="AM11" s="142">
        <f t="shared" si="9"/>
        <v>0</v>
      </c>
    </row>
    <row r="12" spans="1:39" x14ac:dyDescent="0.25">
      <c r="B12" s="174">
        <v>6320</v>
      </c>
      <c r="C12" s="46" t="s">
        <v>18</v>
      </c>
      <c r="D12" s="65"/>
      <c r="E12" s="48">
        <f t="shared" si="1"/>
        <v>0</v>
      </c>
      <c r="F12" s="49"/>
      <c r="G12" s="50"/>
      <c r="H12" s="51">
        <f t="shared" si="10"/>
        <v>0</v>
      </c>
      <c r="I12" s="52">
        <f t="shared" si="11"/>
        <v>0</v>
      </c>
      <c r="J12" s="207"/>
      <c r="K12" s="248">
        <f t="shared" si="2"/>
        <v>0</v>
      </c>
      <c r="L12" s="223"/>
      <c r="M12" s="206"/>
      <c r="N12" s="195">
        <f t="shared" si="12"/>
        <v>0</v>
      </c>
      <c r="O12" s="196">
        <f t="shared" si="13"/>
        <v>0</v>
      </c>
      <c r="P12" s="66"/>
      <c r="Q12" s="56">
        <f t="shared" si="3"/>
        <v>0</v>
      </c>
      <c r="R12" s="67"/>
      <c r="S12" s="56"/>
      <c r="T12" s="57">
        <f t="shared" si="14"/>
        <v>0</v>
      </c>
      <c r="U12" s="58">
        <f t="shared" si="15"/>
        <v>0</v>
      </c>
      <c r="V12" s="68"/>
      <c r="W12" s="60">
        <f t="shared" si="0"/>
        <v>0</v>
      </c>
      <c r="X12" s="69"/>
      <c r="Y12" s="62"/>
      <c r="Z12" s="63">
        <f t="shared" si="16"/>
        <v>0</v>
      </c>
      <c r="AA12" s="41">
        <f t="shared" si="17"/>
        <v>0</v>
      </c>
      <c r="AB12" s="42">
        <f t="shared" si="4"/>
        <v>0</v>
      </c>
      <c r="AC12" s="188">
        <f t="shared" si="5"/>
        <v>0</v>
      </c>
      <c r="AD12" s="71"/>
      <c r="AE12" s="64"/>
      <c r="AG12" s="218">
        <f t="shared" si="6"/>
        <v>0</v>
      </c>
      <c r="AI12" s="64">
        <f t="shared" si="7"/>
        <v>0</v>
      </c>
      <c r="AK12" s="142">
        <f t="shared" si="8"/>
        <v>0</v>
      </c>
      <c r="AM12" s="142">
        <f t="shared" si="9"/>
        <v>0</v>
      </c>
    </row>
    <row r="13" spans="1:39" x14ac:dyDescent="0.25">
      <c r="B13" s="174">
        <v>6320</v>
      </c>
      <c r="C13" s="153" t="s">
        <v>19</v>
      </c>
      <c r="D13" s="65"/>
      <c r="E13" s="48">
        <f t="shared" si="1"/>
        <v>0</v>
      </c>
      <c r="F13" s="49"/>
      <c r="G13" s="50"/>
      <c r="H13" s="51">
        <f t="shared" si="10"/>
        <v>0</v>
      </c>
      <c r="I13" s="52">
        <f t="shared" si="11"/>
        <v>0</v>
      </c>
      <c r="J13" s="207"/>
      <c r="K13" s="248">
        <f t="shared" si="2"/>
        <v>0</v>
      </c>
      <c r="L13" s="223"/>
      <c r="M13" s="206"/>
      <c r="N13" s="195">
        <f t="shared" si="12"/>
        <v>0</v>
      </c>
      <c r="O13" s="196">
        <f t="shared" si="13"/>
        <v>0</v>
      </c>
      <c r="P13" s="66"/>
      <c r="Q13" s="56">
        <f t="shared" si="3"/>
        <v>0</v>
      </c>
      <c r="R13" s="67">
        <v>3</v>
      </c>
      <c r="S13" s="56">
        <f>6320*2+3160</f>
        <v>15800</v>
      </c>
      <c r="T13" s="57">
        <f t="shared" si="14"/>
        <v>3</v>
      </c>
      <c r="U13" s="58">
        <f t="shared" si="15"/>
        <v>15800</v>
      </c>
      <c r="V13" s="68"/>
      <c r="W13" s="60">
        <f t="shared" si="0"/>
        <v>0</v>
      </c>
      <c r="X13" s="69"/>
      <c r="Y13" s="62"/>
      <c r="Z13" s="63">
        <f t="shared" si="16"/>
        <v>0</v>
      </c>
      <c r="AA13" s="41">
        <f t="shared" si="17"/>
        <v>0</v>
      </c>
      <c r="AB13" s="152">
        <f t="shared" si="4"/>
        <v>3</v>
      </c>
      <c r="AC13" s="220">
        <f t="shared" si="5"/>
        <v>15800</v>
      </c>
      <c r="AD13" s="70"/>
      <c r="AE13" s="151">
        <v>3160</v>
      </c>
      <c r="AG13" s="218">
        <f t="shared" si="6"/>
        <v>0</v>
      </c>
      <c r="AI13" s="151">
        <f t="shared" si="7"/>
        <v>15800</v>
      </c>
      <c r="AK13" s="142">
        <f t="shared" si="8"/>
        <v>3</v>
      </c>
      <c r="AM13" s="142">
        <f t="shared" si="9"/>
        <v>0</v>
      </c>
    </row>
    <row r="14" spans="1:39" x14ac:dyDescent="0.25">
      <c r="B14" s="174">
        <v>6320</v>
      </c>
      <c r="C14" s="153" t="s">
        <v>20</v>
      </c>
      <c r="D14" s="65"/>
      <c r="E14" s="48">
        <f t="shared" si="1"/>
        <v>0</v>
      </c>
      <c r="F14" s="49"/>
      <c r="G14" s="50"/>
      <c r="H14" s="51">
        <f t="shared" si="10"/>
        <v>0</v>
      </c>
      <c r="I14" s="52">
        <f t="shared" si="11"/>
        <v>0</v>
      </c>
      <c r="J14" s="207"/>
      <c r="K14" s="248">
        <f t="shared" si="2"/>
        <v>0</v>
      </c>
      <c r="L14" s="223"/>
      <c r="M14" s="206"/>
      <c r="N14" s="195">
        <f t="shared" si="12"/>
        <v>0</v>
      </c>
      <c r="O14" s="196">
        <f t="shared" si="13"/>
        <v>0</v>
      </c>
      <c r="P14" s="66"/>
      <c r="Q14" s="56">
        <f t="shared" si="3"/>
        <v>0</v>
      </c>
      <c r="R14" s="67">
        <v>3</v>
      </c>
      <c r="S14" s="56">
        <f>6320*3</f>
        <v>18960</v>
      </c>
      <c r="T14" s="57">
        <f t="shared" si="14"/>
        <v>3</v>
      </c>
      <c r="U14" s="58">
        <f t="shared" si="15"/>
        <v>18960</v>
      </c>
      <c r="V14" s="68"/>
      <c r="W14" s="60">
        <f t="shared" si="0"/>
        <v>0</v>
      </c>
      <c r="X14" s="69">
        <v>1</v>
      </c>
      <c r="Y14" s="62">
        <v>6320</v>
      </c>
      <c r="Z14" s="63">
        <f t="shared" si="16"/>
        <v>1</v>
      </c>
      <c r="AA14" s="41">
        <f t="shared" si="17"/>
        <v>6320</v>
      </c>
      <c r="AB14" s="152">
        <f t="shared" si="4"/>
        <v>4</v>
      </c>
      <c r="AC14" s="220">
        <f t="shared" si="5"/>
        <v>25280</v>
      </c>
      <c r="AD14" s="70"/>
      <c r="AE14" s="64"/>
      <c r="AG14" s="218">
        <f t="shared" si="6"/>
        <v>0</v>
      </c>
      <c r="AI14" s="151">
        <f t="shared" si="7"/>
        <v>25280</v>
      </c>
      <c r="AK14" s="142">
        <f t="shared" si="8"/>
        <v>4</v>
      </c>
      <c r="AM14" s="142">
        <f t="shared" si="9"/>
        <v>0</v>
      </c>
    </row>
    <row r="15" spans="1:39" x14ac:dyDescent="0.25">
      <c r="B15" s="174">
        <v>6320</v>
      </c>
      <c r="C15" s="46" t="s">
        <v>21</v>
      </c>
      <c r="D15" s="65"/>
      <c r="E15" s="48">
        <f t="shared" si="1"/>
        <v>0</v>
      </c>
      <c r="F15" s="49"/>
      <c r="G15" s="50"/>
      <c r="H15" s="51">
        <f t="shared" si="10"/>
        <v>0</v>
      </c>
      <c r="I15" s="52">
        <f t="shared" si="11"/>
        <v>0</v>
      </c>
      <c r="J15" s="207"/>
      <c r="K15" s="248">
        <f t="shared" si="2"/>
        <v>0</v>
      </c>
      <c r="L15" s="223"/>
      <c r="M15" s="206"/>
      <c r="N15" s="195">
        <f t="shared" si="12"/>
        <v>0</v>
      </c>
      <c r="O15" s="196">
        <f t="shared" si="13"/>
        <v>0</v>
      </c>
      <c r="P15" s="66"/>
      <c r="Q15" s="56">
        <f t="shared" si="3"/>
        <v>0</v>
      </c>
      <c r="R15" s="67"/>
      <c r="S15" s="56"/>
      <c r="T15" s="57">
        <f t="shared" si="14"/>
        <v>0</v>
      </c>
      <c r="U15" s="58">
        <f t="shared" si="15"/>
        <v>0</v>
      </c>
      <c r="V15" s="68"/>
      <c r="W15" s="60">
        <f t="shared" si="0"/>
        <v>0</v>
      </c>
      <c r="X15" s="69"/>
      <c r="Y15" s="62"/>
      <c r="Z15" s="63">
        <f t="shared" si="16"/>
        <v>0</v>
      </c>
      <c r="AA15" s="41">
        <f t="shared" si="17"/>
        <v>0</v>
      </c>
      <c r="AB15" s="42">
        <f t="shared" si="4"/>
        <v>0</v>
      </c>
      <c r="AC15" s="188">
        <f t="shared" si="5"/>
        <v>0</v>
      </c>
      <c r="AD15" s="70"/>
      <c r="AE15" s="64"/>
      <c r="AG15" s="218">
        <f t="shared" si="6"/>
        <v>0</v>
      </c>
      <c r="AI15" s="64">
        <f t="shared" si="7"/>
        <v>0</v>
      </c>
      <c r="AK15" s="142">
        <f t="shared" si="8"/>
        <v>0</v>
      </c>
      <c r="AM15" s="142">
        <f t="shared" si="9"/>
        <v>0</v>
      </c>
    </row>
    <row r="16" spans="1:39" x14ac:dyDescent="0.25">
      <c r="B16" s="174" t="s">
        <v>26</v>
      </c>
      <c r="C16" s="46" t="s">
        <v>33</v>
      </c>
      <c r="D16" s="65"/>
      <c r="E16" s="48">
        <v>0</v>
      </c>
      <c r="F16" s="49"/>
      <c r="G16" s="50"/>
      <c r="H16" s="51">
        <f t="shared" si="10"/>
        <v>0</v>
      </c>
      <c r="I16" s="52">
        <f t="shared" si="11"/>
        <v>0</v>
      </c>
      <c r="J16" s="207"/>
      <c r="K16" s="248">
        <v>0</v>
      </c>
      <c r="L16" s="223"/>
      <c r="M16" s="206"/>
      <c r="N16" s="195">
        <f t="shared" si="12"/>
        <v>0</v>
      </c>
      <c r="O16" s="196">
        <f t="shared" si="13"/>
        <v>0</v>
      </c>
      <c r="P16" s="66"/>
      <c r="Q16" s="56">
        <v>0</v>
      </c>
      <c r="R16" s="67"/>
      <c r="S16" s="56"/>
      <c r="T16" s="57">
        <f t="shared" si="14"/>
        <v>0</v>
      </c>
      <c r="U16" s="58">
        <v>0</v>
      </c>
      <c r="V16" s="68"/>
      <c r="W16" s="60">
        <v>0</v>
      </c>
      <c r="X16" s="69"/>
      <c r="Y16" s="62"/>
      <c r="Z16" s="63">
        <f>+X16+V16</f>
        <v>0</v>
      </c>
      <c r="AA16" s="41">
        <f>+Y16+W16</f>
        <v>0</v>
      </c>
      <c r="AB16" s="42">
        <f t="shared" si="4"/>
        <v>0</v>
      </c>
      <c r="AC16" s="188">
        <f t="shared" si="5"/>
        <v>0</v>
      </c>
      <c r="AD16" s="70"/>
      <c r="AE16" s="64"/>
      <c r="AG16" s="218">
        <f t="shared" si="6"/>
        <v>0</v>
      </c>
      <c r="AI16" s="64">
        <f t="shared" si="7"/>
        <v>0</v>
      </c>
      <c r="AK16" s="142">
        <f t="shared" si="8"/>
        <v>0</v>
      </c>
      <c r="AM16" s="142">
        <f t="shared" si="9"/>
        <v>0</v>
      </c>
    </row>
    <row r="17" spans="2:41" x14ac:dyDescent="0.25">
      <c r="B17" s="175">
        <v>14010</v>
      </c>
      <c r="C17" s="46" t="s">
        <v>23</v>
      </c>
      <c r="D17" s="65"/>
      <c r="E17" s="48">
        <f t="shared" si="1"/>
        <v>0</v>
      </c>
      <c r="F17" s="49"/>
      <c r="G17" s="50"/>
      <c r="H17" s="51">
        <f t="shared" si="10"/>
        <v>0</v>
      </c>
      <c r="I17" s="52">
        <f t="shared" si="11"/>
        <v>0</v>
      </c>
      <c r="J17" s="207"/>
      <c r="K17" s="248">
        <f t="shared" si="2"/>
        <v>0</v>
      </c>
      <c r="L17" s="223"/>
      <c r="M17" s="206"/>
      <c r="N17" s="195">
        <f t="shared" si="12"/>
        <v>0</v>
      </c>
      <c r="O17" s="196">
        <f t="shared" si="13"/>
        <v>0</v>
      </c>
      <c r="P17" s="66"/>
      <c r="Q17" s="56">
        <f t="shared" si="3"/>
        <v>0</v>
      </c>
      <c r="R17" s="67"/>
      <c r="S17" s="56"/>
      <c r="T17" s="57">
        <f t="shared" si="14"/>
        <v>0</v>
      </c>
      <c r="U17" s="58">
        <f t="shared" si="15"/>
        <v>0</v>
      </c>
      <c r="V17" s="68"/>
      <c r="W17" s="60">
        <f t="shared" si="0"/>
        <v>0</v>
      </c>
      <c r="X17" s="69"/>
      <c r="Y17" s="62"/>
      <c r="Z17" s="63">
        <f t="shared" si="16"/>
        <v>0</v>
      </c>
      <c r="AA17" s="41">
        <f t="shared" si="17"/>
        <v>0</v>
      </c>
      <c r="AB17" s="42">
        <f t="shared" si="4"/>
        <v>0</v>
      </c>
      <c r="AC17" s="188">
        <f t="shared" si="5"/>
        <v>0</v>
      </c>
      <c r="AD17" s="70"/>
      <c r="AE17" s="64"/>
      <c r="AG17" s="218">
        <f t="shared" si="6"/>
        <v>0</v>
      </c>
      <c r="AI17" s="64">
        <f t="shared" si="7"/>
        <v>0</v>
      </c>
      <c r="AK17" s="142">
        <f t="shared" si="8"/>
        <v>0</v>
      </c>
      <c r="AM17" s="142">
        <f t="shared" si="9"/>
        <v>0</v>
      </c>
    </row>
    <row r="18" spans="2:41" x14ac:dyDescent="0.25">
      <c r="B18" s="174">
        <v>11870</v>
      </c>
      <c r="C18" s="46" t="s">
        <v>24</v>
      </c>
      <c r="D18" s="65"/>
      <c r="E18" s="48">
        <f t="shared" si="1"/>
        <v>0</v>
      </c>
      <c r="F18" s="49"/>
      <c r="G18" s="50"/>
      <c r="H18" s="51">
        <f t="shared" si="10"/>
        <v>0</v>
      </c>
      <c r="I18" s="52">
        <f t="shared" si="11"/>
        <v>0</v>
      </c>
      <c r="J18" s="207"/>
      <c r="K18" s="248">
        <f t="shared" si="2"/>
        <v>0</v>
      </c>
      <c r="L18" s="223"/>
      <c r="M18" s="206"/>
      <c r="N18" s="195">
        <f t="shared" si="12"/>
        <v>0</v>
      </c>
      <c r="O18" s="196">
        <f t="shared" si="13"/>
        <v>0</v>
      </c>
      <c r="P18" s="66"/>
      <c r="Q18" s="56">
        <f t="shared" si="3"/>
        <v>0</v>
      </c>
      <c r="R18" s="67"/>
      <c r="S18" s="56"/>
      <c r="T18" s="57">
        <f t="shared" si="14"/>
        <v>0</v>
      </c>
      <c r="U18" s="58">
        <f t="shared" si="15"/>
        <v>0</v>
      </c>
      <c r="V18" s="68"/>
      <c r="W18" s="60">
        <f t="shared" si="0"/>
        <v>0</v>
      </c>
      <c r="X18" s="69"/>
      <c r="Y18" s="62"/>
      <c r="Z18" s="63">
        <f t="shared" si="16"/>
        <v>0</v>
      </c>
      <c r="AA18" s="41">
        <f t="shared" si="17"/>
        <v>0</v>
      </c>
      <c r="AB18" s="42">
        <f t="shared" si="4"/>
        <v>0</v>
      </c>
      <c r="AC18" s="188">
        <f t="shared" si="5"/>
        <v>0</v>
      </c>
      <c r="AD18" s="70"/>
      <c r="AE18" s="64"/>
      <c r="AG18" s="218">
        <f t="shared" si="6"/>
        <v>0</v>
      </c>
      <c r="AI18" s="64">
        <f t="shared" si="7"/>
        <v>0</v>
      </c>
      <c r="AK18" s="142">
        <f t="shared" si="8"/>
        <v>0</v>
      </c>
      <c r="AM18" s="142">
        <f t="shared" si="9"/>
        <v>0</v>
      </c>
    </row>
    <row r="19" spans="2:41" x14ac:dyDescent="0.25">
      <c r="B19" s="174">
        <v>6710</v>
      </c>
      <c r="C19" s="46" t="s">
        <v>0</v>
      </c>
      <c r="D19" s="65"/>
      <c r="E19" s="48">
        <f t="shared" si="1"/>
        <v>0</v>
      </c>
      <c r="F19" s="72"/>
      <c r="G19" s="50"/>
      <c r="H19" s="51">
        <f t="shared" si="10"/>
        <v>0</v>
      </c>
      <c r="I19" s="52">
        <f t="shared" si="11"/>
        <v>0</v>
      </c>
      <c r="J19" s="207"/>
      <c r="K19" s="248">
        <f t="shared" si="2"/>
        <v>0</v>
      </c>
      <c r="L19" s="224"/>
      <c r="M19" s="206"/>
      <c r="N19" s="195">
        <f t="shared" si="12"/>
        <v>0</v>
      </c>
      <c r="O19" s="196">
        <f t="shared" si="13"/>
        <v>0</v>
      </c>
      <c r="P19" s="66"/>
      <c r="Q19" s="56">
        <f t="shared" si="3"/>
        <v>0</v>
      </c>
      <c r="R19" s="73"/>
      <c r="S19" s="56"/>
      <c r="T19" s="57">
        <f t="shared" si="14"/>
        <v>0</v>
      </c>
      <c r="U19" s="58">
        <f t="shared" si="15"/>
        <v>0</v>
      </c>
      <c r="V19" s="68"/>
      <c r="W19" s="60">
        <f t="shared" si="0"/>
        <v>0</v>
      </c>
      <c r="X19" s="74"/>
      <c r="Y19" s="62"/>
      <c r="Z19" s="63">
        <f t="shared" si="16"/>
        <v>0</v>
      </c>
      <c r="AA19" s="41">
        <f t="shared" si="17"/>
        <v>0</v>
      </c>
      <c r="AB19" s="42">
        <f t="shared" si="4"/>
        <v>0</v>
      </c>
      <c r="AC19" s="188">
        <f t="shared" si="5"/>
        <v>0</v>
      </c>
      <c r="AD19" s="70"/>
      <c r="AE19" s="64"/>
      <c r="AF19" s="1" t="s">
        <v>25</v>
      </c>
      <c r="AG19" s="218">
        <f t="shared" si="6"/>
        <v>0</v>
      </c>
      <c r="AI19" s="64">
        <f t="shared" si="7"/>
        <v>0</v>
      </c>
      <c r="AK19" s="142">
        <f t="shared" si="8"/>
        <v>0</v>
      </c>
      <c r="AM19" s="142">
        <f t="shared" si="9"/>
        <v>0</v>
      </c>
    </row>
    <row r="20" spans="2:41" x14ac:dyDescent="0.25">
      <c r="B20" s="174" t="s">
        <v>26</v>
      </c>
      <c r="C20" s="46" t="s">
        <v>0</v>
      </c>
      <c r="D20" s="65"/>
      <c r="E20" s="48">
        <v>0</v>
      </c>
      <c r="F20" s="49"/>
      <c r="G20" s="50"/>
      <c r="H20" s="51">
        <f t="shared" si="10"/>
        <v>0</v>
      </c>
      <c r="I20" s="52">
        <f t="shared" si="11"/>
        <v>0</v>
      </c>
      <c r="J20" s="207"/>
      <c r="K20" s="248">
        <v>0</v>
      </c>
      <c r="L20" s="223"/>
      <c r="M20" s="206"/>
      <c r="N20" s="195">
        <f t="shared" si="12"/>
        <v>0</v>
      </c>
      <c r="O20" s="196">
        <f t="shared" si="13"/>
        <v>0</v>
      </c>
      <c r="P20" s="66"/>
      <c r="Q20" s="56">
        <v>0</v>
      </c>
      <c r="R20" s="67"/>
      <c r="S20" s="56"/>
      <c r="T20" s="57">
        <f t="shared" si="14"/>
        <v>0</v>
      </c>
      <c r="U20" s="58">
        <f t="shared" si="15"/>
        <v>0</v>
      </c>
      <c r="V20" s="68"/>
      <c r="W20" s="60">
        <v>0</v>
      </c>
      <c r="X20" s="69"/>
      <c r="Y20" s="62"/>
      <c r="Z20" s="63">
        <f t="shared" si="16"/>
        <v>0</v>
      </c>
      <c r="AA20" s="41">
        <f t="shared" si="17"/>
        <v>0</v>
      </c>
      <c r="AB20" s="42">
        <f t="shared" si="4"/>
        <v>0</v>
      </c>
      <c r="AC20" s="188">
        <f t="shared" si="5"/>
        <v>0</v>
      </c>
      <c r="AD20" s="70"/>
      <c r="AE20" s="64"/>
      <c r="AG20" s="218">
        <f t="shared" si="6"/>
        <v>0</v>
      </c>
      <c r="AI20" s="64">
        <f t="shared" si="7"/>
        <v>0</v>
      </c>
      <c r="AK20" s="142">
        <f t="shared" si="8"/>
        <v>0</v>
      </c>
      <c r="AM20" s="142">
        <f t="shared" si="9"/>
        <v>0</v>
      </c>
    </row>
    <row r="21" spans="2:41" x14ac:dyDescent="0.25">
      <c r="B21" s="174" t="s">
        <v>26</v>
      </c>
      <c r="C21" s="153" t="s">
        <v>28</v>
      </c>
      <c r="D21" s="65"/>
      <c r="E21" s="75">
        <v>0</v>
      </c>
      <c r="F21" s="49">
        <v>6</v>
      </c>
      <c r="G21" s="50">
        <f>17160*4+4125+24700</f>
        <v>97465</v>
      </c>
      <c r="H21" s="51">
        <f t="shared" si="10"/>
        <v>6</v>
      </c>
      <c r="I21" s="52">
        <f t="shared" si="11"/>
        <v>97465</v>
      </c>
      <c r="J21" s="207"/>
      <c r="K21" s="248">
        <v>0</v>
      </c>
      <c r="L21" s="223"/>
      <c r="M21" s="206"/>
      <c r="N21" s="195">
        <f t="shared" si="12"/>
        <v>0</v>
      </c>
      <c r="O21" s="196">
        <f t="shared" si="13"/>
        <v>0</v>
      </c>
      <c r="P21" s="66"/>
      <c r="Q21" s="56">
        <v>0</v>
      </c>
      <c r="R21" s="67">
        <v>3</v>
      </c>
      <c r="S21" s="56">
        <f>13750+4125+17160</f>
        <v>35035</v>
      </c>
      <c r="T21" s="57">
        <f t="shared" si="14"/>
        <v>3</v>
      </c>
      <c r="U21" s="58">
        <f t="shared" si="15"/>
        <v>35035</v>
      </c>
      <c r="V21" s="68"/>
      <c r="W21" s="60">
        <v>0</v>
      </c>
      <c r="X21" s="69">
        <v>4</v>
      </c>
      <c r="Y21" s="62">
        <f>38450+17160*3</f>
        <v>89930</v>
      </c>
      <c r="Z21" s="63">
        <f t="shared" si="16"/>
        <v>4</v>
      </c>
      <c r="AA21" s="41">
        <f t="shared" si="17"/>
        <v>89930</v>
      </c>
      <c r="AB21" s="152">
        <f t="shared" si="4"/>
        <v>13</v>
      </c>
      <c r="AC21" s="220">
        <f t="shared" si="5"/>
        <v>222430</v>
      </c>
      <c r="AD21" s="70"/>
      <c r="AE21" s="151">
        <f>9625*2</f>
        <v>19250</v>
      </c>
      <c r="AG21" s="218">
        <f t="shared" si="6"/>
        <v>0</v>
      </c>
      <c r="AI21" s="151">
        <f t="shared" si="7"/>
        <v>222430</v>
      </c>
      <c r="AK21" s="142">
        <f t="shared" si="8"/>
        <v>13</v>
      </c>
      <c r="AM21" s="142">
        <f t="shared" si="9"/>
        <v>0</v>
      </c>
    </row>
    <row r="22" spans="2:41" ht="15.75" thickBot="1" x14ac:dyDescent="0.3">
      <c r="B22" s="176" t="s">
        <v>26</v>
      </c>
      <c r="C22" s="155" t="s">
        <v>29</v>
      </c>
      <c r="D22" s="77"/>
      <c r="E22" s="78">
        <v>0</v>
      </c>
      <c r="F22" s="79">
        <v>1</v>
      </c>
      <c r="G22" s="80">
        <v>7490</v>
      </c>
      <c r="H22" s="81">
        <f t="shared" si="10"/>
        <v>1</v>
      </c>
      <c r="I22" s="82">
        <f t="shared" si="11"/>
        <v>7490</v>
      </c>
      <c r="J22" s="210"/>
      <c r="K22" s="250">
        <v>0</v>
      </c>
      <c r="L22" s="225"/>
      <c r="M22" s="213"/>
      <c r="N22" s="197">
        <f t="shared" si="12"/>
        <v>0</v>
      </c>
      <c r="O22" s="198">
        <f t="shared" si="13"/>
        <v>0</v>
      </c>
      <c r="P22" s="245"/>
      <c r="Q22" s="237">
        <v>0</v>
      </c>
      <c r="R22" s="85">
        <v>4</v>
      </c>
      <c r="S22" s="86">
        <f>13180+7490*2+6430</f>
        <v>34590</v>
      </c>
      <c r="T22" s="87">
        <f t="shared" si="14"/>
        <v>4</v>
      </c>
      <c r="U22" s="88">
        <f t="shared" si="15"/>
        <v>34590</v>
      </c>
      <c r="V22" s="89"/>
      <c r="W22" s="60">
        <v>0</v>
      </c>
      <c r="X22" s="90">
        <v>6</v>
      </c>
      <c r="Y22" s="91">
        <f>12860+6430+14980*2+9324+25660</f>
        <v>84234</v>
      </c>
      <c r="Z22" s="92">
        <f t="shared" si="16"/>
        <v>6</v>
      </c>
      <c r="AA22" s="93">
        <f t="shared" si="17"/>
        <v>84234</v>
      </c>
      <c r="AB22" s="152">
        <f t="shared" si="4"/>
        <v>11</v>
      </c>
      <c r="AC22" s="220">
        <f t="shared" si="5"/>
        <v>126314</v>
      </c>
      <c r="AD22" s="70"/>
      <c r="AE22" s="154">
        <v>3856</v>
      </c>
      <c r="AG22" s="219">
        <f t="shared" si="6"/>
        <v>0</v>
      </c>
      <c r="AI22" s="154">
        <f t="shared" si="7"/>
        <v>126314</v>
      </c>
      <c r="AK22" s="144">
        <f t="shared" si="8"/>
        <v>11</v>
      </c>
      <c r="AM22" s="144">
        <f t="shared" si="9"/>
        <v>0</v>
      </c>
    </row>
    <row r="23" spans="2:41" ht="15.75" thickBot="1" x14ac:dyDescent="0.3">
      <c r="D23" s="95">
        <f t="shared" ref="D23:I23" si="18">SUM(D8:D22)</f>
        <v>0</v>
      </c>
      <c r="E23" s="96">
        <f t="shared" si="18"/>
        <v>0</v>
      </c>
      <c r="F23" s="95">
        <f t="shared" si="18"/>
        <v>15</v>
      </c>
      <c r="G23" s="97">
        <f t="shared" si="18"/>
        <v>151723</v>
      </c>
      <c r="H23" s="98">
        <f t="shared" si="18"/>
        <v>15</v>
      </c>
      <c r="I23" s="99">
        <f t="shared" si="18"/>
        <v>151723</v>
      </c>
      <c r="J23" s="214">
        <f t="shared" ref="J23:O23" si="19">SUM(J8:J22)</f>
        <v>0</v>
      </c>
      <c r="K23" s="226">
        <f t="shared" si="19"/>
        <v>0</v>
      </c>
      <c r="L23" s="214">
        <f t="shared" si="19"/>
        <v>0</v>
      </c>
      <c r="M23" s="216">
        <f t="shared" si="19"/>
        <v>0</v>
      </c>
      <c r="N23" s="217">
        <f t="shared" si="19"/>
        <v>0</v>
      </c>
      <c r="O23" s="99">
        <f t="shared" si="19"/>
        <v>0</v>
      </c>
      <c r="P23" s="244">
        <f t="shared" ref="P23:AA23" si="20">SUM(P8:P22)</f>
        <v>0</v>
      </c>
      <c r="Q23" s="101">
        <f t="shared" si="20"/>
        <v>0</v>
      </c>
      <c r="R23" s="100">
        <f t="shared" si="20"/>
        <v>29</v>
      </c>
      <c r="S23" s="102">
        <f t="shared" si="20"/>
        <v>201713</v>
      </c>
      <c r="T23" s="103">
        <f t="shared" si="20"/>
        <v>29</v>
      </c>
      <c r="U23" s="104">
        <f t="shared" si="20"/>
        <v>201713</v>
      </c>
      <c r="V23" s="105">
        <f t="shared" si="20"/>
        <v>0</v>
      </c>
      <c r="W23" s="106">
        <f t="shared" si="20"/>
        <v>0</v>
      </c>
      <c r="X23" s="105">
        <f t="shared" si="20"/>
        <v>53</v>
      </c>
      <c r="Y23" s="107">
        <f t="shared" si="20"/>
        <v>439529</v>
      </c>
      <c r="Z23" s="108">
        <f t="shared" si="20"/>
        <v>53</v>
      </c>
      <c r="AA23" s="104">
        <f t="shared" si="20"/>
        <v>439529</v>
      </c>
      <c r="AB23" s="109" t="s">
        <v>9</v>
      </c>
      <c r="AC23" s="43">
        <f>SUM(AC8:AC22)</f>
        <v>792965</v>
      </c>
      <c r="AD23" s="70"/>
      <c r="AE23" s="1">
        <f>SUM(AE8:AE22)</f>
        <v>40245</v>
      </c>
      <c r="AI23" s="110"/>
      <c r="AK23" s="1">
        <f>SUM(AK8:AK22)</f>
        <v>97</v>
      </c>
      <c r="AM23" s="1">
        <f>SUM(AM8:AM22)</f>
        <v>0</v>
      </c>
      <c r="AO23" s="1">
        <f>+AK23+AM23</f>
        <v>97</v>
      </c>
    </row>
    <row r="24" spans="2:41" x14ac:dyDescent="0.25">
      <c r="G24" s="111"/>
      <c r="H24" s="111"/>
      <c r="I24" s="111"/>
      <c r="M24" s="111"/>
      <c r="N24" s="111"/>
      <c r="O24" s="111"/>
      <c r="P24" s="111"/>
      <c r="Q24" s="111"/>
      <c r="R24" s="112">
        <f>X23+F23+R23+L23</f>
        <v>97</v>
      </c>
      <c r="S24" s="113">
        <f>G23+Y23+S23+M23</f>
        <v>792965</v>
      </c>
      <c r="T24" s="111"/>
      <c r="U24" s="111"/>
      <c r="V24" s="111"/>
      <c r="W24" s="111"/>
      <c r="X24" s="111"/>
      <c r="Y24" s="111"/>
      <c r="Z24" s="111"/>
      <c r="AA24" s="111"/>
      <c r="AB24" s="2"/>
      <c r="AC24" s="70">
        <f>AA23+U23+I23+O23</f>
        <v>792965</v>
      </c>
      <c r="AD24" s="2"/>
    </row>
    <row r="25" spans="2:41" x14ac:dyDescent="0.25">
      <c r="D25" s="114" t="s">
        <v>30</v>
      </c>
      <c r="E25" s="114"/>
      <c r="G25" s="114"/>
      <c r="H25" s="114"/>
      <c r="I25" s="114"/>
      <c r="J25" s="114" t="s">
        <v>30</v>
      </c>
      <c r="K25" s="114"/>
      <c r="M25" s="114"/>
      <c r="N25" s="114"/>
      <c r="O25" s="114"/>
      <c r="P25" s="114"/>
      <c r="Q25" s="114"/>
      <c r="R25" s="114"/>
      <c r="S25" s="114"/>
      <c r="T25" s="114"/>
      <c r="U25" s="114"/>
      <c r="AA25" s="2"/>
      <c r="AB25" s="2"/>
      <c r="AC25" s="2"/>
      <c r="AD25" s="2"/>
    </row>
    <row r="26" spans="2:41" x14ac:dyDescent="0.25">
      <c r="D26" s="114"/>
      <c r="E26" s="114"/>
      <c r="J26" s="114"/>
      <c r="K26" s="114"/>
      <c r="P26" s="1"/>
      <c r="Q26" s="1"/>
      <c r="R26" s="1"/>
      <c r="S26" s="1"/>
      <c r="T26" s="1"/>
      <c r="U26" s="1"/>
      <c r="AA26" s="2"/>
      <c r="AB26" s="2"/>
      <c r="AC26" s="2"/>
      <c r="AD26" s="2"/>
    </row>
    <row r="27" spans="2:41" x14ac:dyDescent="0.25">
      <c r="C27" s="115">
        <v>20000</v>
      </c>
      <c r="D27" s="115"/>
      <c r="E27" s="115"/>
      <c r="F27" s="116"/>
      <c r="G27" s="117"/>
      <c r="H27" s="118"/>
      <c r="I27" s="119"/>
      <c r="J27" s="115"/>
      <c r="K27" s="115"/>
      <c r="L27" s="116"/>
      <c r="M27" s="117"/>
      <c r="N27" s="118"/>
      <c r="O27" s="119"/>
      <c r="P27" s="119"/>
      <c r="Q27" s="119"/>
      <c r="R27" s="119"/>
      <c r="S27" s="119"/>
      <c r="T27" s="119"/>
      <c r="U27" s="119"/>
      <c r="V27" s="119"/>
      <c r="W27" s="119"/>
      <c r="X27" s="120"/>
      <c r="Y27" s="121"/>
      <c r="Z27" s="120"/>
      <c r="AA27" s="119"/>
      <c r="AB27" s="122"/>
      <c r="AC27" s="122"/>
      <c r="AD27" s="2"/>
      <c r="AE27" s="2"/>
      <c r="AF27" s="2"/>
    </row>
    <row r="28" spans="2:41" x14ac:dyDescent="0.25">
      <c r="C28" s="115">
        <v>10000</v>
      </c>
      <c r="D28" s="115"/>
      <c r="E28" s="115"/>
      <c r="F28" s="116"/>
      <c r="G28" s="117"/>
      <c r="H28" s="118"/>
      <c r="I28" s="119"/>
      <c r="J28" s="115"/>
      <c r="K28" s="115"/>
      <c r="L28" s="116"/>
      <c r="M28" s="117"/>
      <c r="N28" s="118"/>
      <c r="O28" s="119"/>
      <c r="P28" s="119"/>
      <c r="Q28" s="119"/>
      <c r="R28" s="119"/>
      <c r="S28" s="119"/>
      <c r="T28" s="119"/>
      <c r="U28" s="119"/>
      <c r="V28" s="119"/>
      <c r="W28" s="119"/>
      <c r="X28" s="120"/>
      <c r="Y28" s="122"/>
      <c r="Z28" s="120"/>
      <c r="AA28" s="119"/>
      <c r="AB28" s="122"/>
      <c r="AC28" s="122"/>
      <c r="AD28" s="2"/>
      <c r="AE28" s="2"/>
      <c r="AF28" s="2"/>
    </row>
    <row r="29" spans="2:41" x14ac:dyDescent="0.25">
      <c r="C29" s="115">
        <v>5000</v>
      </c>
      <c r="D29" s="115"/>
      <c r="E29" s="115"/>
      <c r="F29" s="116"/>
      <c r="G29" s="117"/>
      <c r="H29" s="118"/>
      <c r="I29" s="119"/>
      <c r="J29" s="115"/>
      <c r="K29" s="115"/>
      <c r="L29" s="116"/>
      <c r="M29" s="117"/>
      <c r="N29" s="118"/>
      <c r="O29" s="119"/>
      <c r="P29" s="119"/>
      <c r="Q29" s="119"/>
      <c r="R29" s="119"/>
      <c r="S29" s="119"/>
      <c r="T29" s="119"/>
      <c r="U29" s="119"/>
      <c r="V29" s="119"/>
      <c r="W29" s="119"/>
      <c r="X29" s="120"/>
      <c r="Y29" s="121"/>
      <c r="Z29" s="120"/>
      <c r="AA29" s="119"/>
      <c r="AB29" s="122"/>
      <c r="AC29" s="122"/>
      <c r="AD29" s="2"/>
      <c r="AE29" s="2"/>
      <c r="AF29" s="2"/>
    </row>
    <row r="30" spans="2:41" x14ac:dyDescent="0.25">
      <c r="C30" s="115">
        <v>2000</v>
      </c>
      <c r="D30" s="115"/>
      <c r="E30" s="115"/>
      <c r="F30" s="116"/>
      <c r="G30" s="117"/>
      <c r="H30" s="118"/>
      <c r="I30" s="119"/>
      <c r="J30" s="115"/>
      <c r="K30" s="115"/>
      <c r="L30" s="116"/>
      <c r="M30" s="117"/>
      <c r="N30" s="118"/>
      <c r="O30" s="119"/>
      <c r="P30" s="119"/>
      <c r="Q30" s="124"/>
      <c r="R30" s="119"/>
      <c r="S30" s="119"/>
      <c r="T30" s="119"/>
      <c r="U30" s="119"/>
      <c r="V30" s="119"/>
      <c r="W30" s="119"/>
      <c r="X30" s="120"/>
      <c r="Y30" s="121"/>
      <c r="Z30" s="120"/>
      <c r="AA30" s="119"/>
      <c r="AB30" s="122"/>
      <c r="AC30" s="122"/>
      <c r="AD30" s="123"/>
    </row>
    <row r="31" spans="2:41" x14ac:dyDescent="0.25">
      <c r="C31" s="115">
        <v>1000</v>
      </c>
      <c r="D31" s="115"/>
      <c r="E31" s="115"/>
      <c r="F31" s="116"/>
      <c r="G31" s="117"/>
      <c r="H31" s="118"/>
      <c r="I31" s="124"/>
      <c r="J31" s="115"/>
      <c r="K31" s="115"/>
      <c r="L31" s="116"/>
      <c r="M31" s="117"/>
      <c r="N31" s="118"/>
      <c r="O31" s="124"/>
      <c r="P31" s="124"/>
      <c r="Q31" s="124"/>
      <c r="R31" s="124"/>
      <c r="S31" s="124"/>
      <c r="T31" s="124"/>
      <c r="U31" s="124"/>
      <c r="V31" s="124"/>
      <c r="W31" s="124"/>
      <c r="X31" s="120"/>
      <c r="Y31" s="121"/>
      <c r="Z31" s="120"/>
      <c r="AA31" s="124"/>
      <c r="AB31" s="122"/>
      <c r="AC31" s="122"/>
      <c r="AD31" s="2"/>
    </row>
    <row r="32" spans="2:41" x14ac:dyDescent="0.25">
      <c r="C32" s="115">
        <v>500</v>
      </c>
      <c r="D32" s="115"/>
      <c r="E32" s="115"/>
      <c r="F32" s="116"/>
      <c r="G32" s="117"/>
      <c r="H32" s="118"/>
      <c r="I32" s="119"/>
      <c r="J32" s="115"/>
      <c r="K32" s="115"/>
      <c r="L32" s="116"/>
      <c r="M32" s="117"/>
      <c r="N32" s="118"/>
      <c r="O32" s="119"/>
      <c r="P32" s="119"/>
      <c r="Q32" s="119"/>
      <c r="R32" s="119"/>
      <c r="S32" s="119"/>
      <c r="T32" s="119"/>
      <c r="U32" s="119"/>
      <c r="V32" s="119"/>
      <c r="W32" s="119"/>
      <c r="X32" s="120"/>
      <c r="Y32" s="121"/>
      <c r="Z32" s="120"/>
      <c r="AA32" s="119"/>
      <c r="AB32" s="121"/>
      <c r="AC32" s="121"/>
      <c r="AD32" s="2"/>
    </row>
    <row r="33" spans="2:33" x14ac:dyDescent="0.25">
      <c r="C33" s="115">
        <v>100</v>
      </c>
      <c r="D33" s="115"/>
      <c r="E33" s="115"/>
      <c r="F33" s="116"/>
      <c r="G33" s="117"/>
      <c r="H33" s="118"/>
      <c r="I33" s="119"/>
      <c r="J33" s="115"/>
      <c r="K33" s="115"/>
      <c r="L33" s="116"/>
      <c r="M33" s="117"/>
      <c r="N33" s="118"/>
      <c r="O33" s="119"/>
      <c r="P33" s="119"/>
      <c r="Q33" s="119"/>
      <c r="R33" s="119"/>
      <c r="S33" s="119"/>
      <c r="T33" s="119"/>
      <c r="U33" s="119"/>
      <c r="V33" s="119"/>
      <c r="W33" s="119"/>
      <c r="X33" s="120"/>
      <c r="Y33" s="121"/>
      <c r="Z33" s="120"/>
      <c r="AA33" s="119"/>
      <c r="AB33" s="121"/>
      <c r="AC33" s="121"/>
      <c r="AD33" s="2"/>
    </row>
    <row r="34" spans="2:33" x14ac:dyDescent="0.25">
      <c r="C34" s="115">
        <v>50</v>
      </c>
      <c r="D34" s="115"/>
      <c r="E34" s="115"/>
      <c r="F34" s="116"/>
      <c r="G34" s="117"/>
      <c r="H34" s="118"/>
      <c r="I34" s="119"/>
      <c r="J34" s="115"/>
      <c r="K34" s="115"/>
      <c r="L34" s="116"/>
      <c r="M34" s="117"/>
      <c r="N34" s="118"/>
      <c r="O34" s="119"/>
      <c r="P34" s="119"/>
      <c r="Q34" s="119"/>
      <c r="R34" s="119"/>
      <c r="S34" s="119"/>
      <c r="T34" s="119"/>
      <c r="U34" s="119"/>
      <c r="V34" s="119"/>
      <c r="W34" s="119"/>
      <c r="X34" s="120"/>
      <c r="Y34" s="121"/>
      <c r="Z34" s="120"/>
      <c r="AA34" s="119"/>
      <c r="AB34" s="121"/>
      <c r="AC34" s="121"/>
      <c r="AD34" s="2"/>
    </row>
    <row r="35" spans="2:33" x14ac:dyDescent="0.25">
      <c r="C35" s="115">
        <v>10</v>
      </c>
      <c r="D35" s="115"/>
      <c r="E35" s="115"/>
      <c r="F35" s="116"/>
      <c r="G35" s="117"/>
      <c r="H35" s="118"/>
      <c r="I35" s="119">
        <v>151723</v>
      </c>
      <c r="J35" s="115"/>
      <c r="K35" s="115"/>
      <c r="L35" s="116"/>
      <c r="M35" s="117"/>
      <c r="N35" s="118"/>
      <c r="O35" s="119"/>
      <c r="P35" s="119"/>
      <c r="Q35" s="119"/>
      <c r="R35" s="119"/>
      <c r="S35" s="119"/>
      <c r="T35" s="119"/>
      <c r="U35" s="119">
        <v>201713</v>
      </c>
      <c r="V35" s="119"/>
      <c r="W35" s="119"/>
      <c r="X35" s="120"/>
      <c r="Y35" s="121"/>
      <c r="Z35" s="120"/>
      <c r="AA35" s="119">
        <v>219115</v>
      </c>
      <c r="AB35" s="121"/>
      <c r="AC35" s="121"/>
      <c r="AD35" s="2"/>
      <c r="AG35" s="1" t="s">
        <v>25</v>
      </c>
    </row>
    <row r="36" spans="2:33" x14ac:dyDescent="0.25">
      <c r="C36" s="1" t="s">
        <v>32</v>
      </c>
      <c r="E36" s="131"/>
      <c r="G36" s="125"/>
      <c r="H36" s="118"/>
      <c r="I36" s="124"/>
      <c r="K36" s="131"/>
      <c r="M36" s="125"/>
      <c r="N36" s="118"/>
      <c r="O36" s="124"/>
      <c r="P36" s="124"/>
      <c r="Q36" s="124"/>
      <c r="R36" s="124"/>
      <c r="S36" s="124"/>
      <c r="T36" s="124"/>
      <c r="U36" s="124"/>
      <c r="V36" s="124"/>
      <c r="W36" s="124"/>
      <c r="X36" s="120"/>
      <c r="Y36" s="124"/>
      <c r="Z36" s="120"/>
      <c r="AA36" s="124">
        <f>9324+72050+139040</f>
        <v>220414</v>
      </c>
      <c r="AB36" s="124"/>
      <c r="AC36" s="124"/>
      <c r="AD36" s="2"/>
    </row>
    <row r="37" spans="2:33" s="114" customFormat="1" ht="15.75" x14ac:dyDescent="0.25">
      <c r="F37" s="126"/>
      <c r="G37" s="127"/>
      <c r="I37" s="128">
        <f>SUM(I27:I36)</f>
        <v>151723</v>
      </c>
      <c r="L37" s="126"/>
      <c r="M37" s="127"/>
      <c r="O37" s="128">
        <f>SUM(O27:O36)</f>
        <v>0</v>
      </c>
      <c r="P37" s="116"/>
      <c r="Q37" s="116"/>
      <c r="R37" s="116"/>
      <c r="S37" s="116"/>
      <c r="T37" s="116"/>
      <c r="U37" s="128">
        <f>SUM(U27:U36)</f>
        <v>201713</v>
      </c>
      <c r="V37" s="116"/>
      <c r="W37" s="116"/>
      <c r="X37" s="123"/>
      <c r="Y37" s="116"/>
      <c r="Z37" s="123"/>
      <c r="AA37" s="128">
        <f>SUM(AA27:AA36)</f>
        <v>439529</v>
      </c>
      <c r="AB37" s="129"/>
      <c r="AC37" s="125">
        <f>+I37+U37+AA37+O37</f>
        <v>792965</v>
      </c>
    </row>
    <row r="38" spans="2:33" x14ac:dyDescent="0.25">
      <c r="B38" s="2"/>
      <c r="C38" s="2"/>
      <c r="D38" s="2"/>
      <c r="E38" s="70"/>
      <c r="F38" s="2"/>
      <c r="G38" s="2"/>
      <c r="H38" s="2"/>
      <c r="I38" s="2"/>
      <c r="J38" s="2"/>
      <c r="K38" s="70"/>
      <c r="L38" s="2"/>
      <c r="M38" s="2"/>
      <c r="N38" s="2"/>
      <c r="O38" s="2"/>
      <c r="X38" s="70"/>
      <c r="AA38" s="2"/>
      <c r="AB38" s="130"/>
      <c r="AC38" s="131">
        <f>AC37-AC24</f>
        <v>0</v>
      </c>
    </row>
    <row r="39" spans="2:33" x14ac:dyDescent="0.25">
      <c r="B39" s="2"/>
      <c r="C39" s="2"/>
      <c r="D39" s="2"/>
      <c r="E39" s="70"/>
      <c r="F39" s="2"/>
      <c r="G39" s="2"/>
      <c r="H39" s="2"/>
      <c r="I39" s="129"/>
      <c r="J39" s="2"/>
      <c r="K39" s="70"/>
      <c r="L39" s="2"/>
      <c r="M39" s="2"/>
      <c r="N39" s="2"/>
      <c r="O39" s="129"/>
      <c r="P39" s="2" t="s">
        <v>38</v>
      </c>
      <c r="U39" s="129"/>
      <c r="X39" s="70"/>
      <c r="AA39" s="2"/>
      <c r="AB39" s="130"/>
      <c r="AC39" s="131"/>
    </row>
    <row r="40" spans="2:33" x14ac:dyDescent="0.25">
      <c r="E40" s="110"/>
      <c r="Q40" s="133"/>
      <c r="Y40" s="1"/>
      <c r="Z40" s="1"/>
    </row>
    <row r="41" spans="2:33" x14ac:dyDescent="0.25">
      <c r="S41" s="129"/>
      <c r="T41" s="129"/>
      <c r="U41" s="129"/>
      <c r="W41" s="130"/>
    </row>
  </sheetData>
  <mergeCells count="11">
    <mergeCell ref="B6:B7"/>
    <mergeCell ref="C6:C7"/>
    <mergeCell ref="D6:I6"/>
    <mergeCell ref="J6:O6"/>
    <mergeCell ref="P6:U6"/>
    <mergeCell ref="AB6:AB7"/>
    <mergeCell ref="AC6:AC7"/>
    <mergeCell ref="AE6:AE7"/>
    <mergeCell ref="Q3:T3"/>
    <mergeCell ref="C4:D4"/>
    <mergeCell ref="V6:AA6"/>
  </mergeCells>
  <pageMargins left="0.39370078740157483" right="0.39370078740157483" top="0.19685039370078741" bottom="0.19685039370078741" header="0" footer="0"/>
  <pageSetup paperSize="9" scale="62" orientation="landscape" horizontalDpi="0" verticalDpi="0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2">
    <pageSetUpPr fitToPage="1"/>
  </sheetPr>
  <dimension ref="A1:AO41"/>
  <sheetViews>
    <sheetView workbookViewId="0">
      <pane xSplit="3" topLeftCell="W1" activePane="topRight" state="frozen"/>
      <selection activeCell="M17" sqref="M17"/>
      <selection pane="topRight" activeCell="W20" sqref="W20"/>
    </sheetView>
  </sheetViews>
  <sheetFormatPr baseColWidth="10" defaultRowHeight="15" x14ac:dyDescent="0.25"/>
  <cols>
    <col min="1" max="1" width="1.7109375" style="1" customWidth="1"/>
    <col min="2" max="2" width="10" style="1" customWidth="1"/>
    <col min="3" max="3" width="29.140625" style="1" customWidth="1"/>
    <col min="4" max="4" width="5.7109375" style="1" hidden="1" customWidth="1"/>
    <col min="5" max="5" width="10.7109375" style="1" hidden="1" customWidth="1"/>
    <col min="6" max="6" width="5.7109375" style="1" hidden="1" customWidth="1"/>
    <col min="7" max="7" width="10.7109375" style="1" hidden="1" customWidth="1"/>
    <col min="8" max="8" width="5.7109375" style="1" hidden="1" customWidth="1"/>
    <col min="9" max="9" width="10.7109375" style="1" hidden="1" customWidth="1"/>
    <col min="10" max="10" width="5.7109375" style="1" hidden="1" customWidth="1"/>
    <col min="11" max="11" width="10.7109375" style="1" hidden="1" customWidth="1"/>
    <col min="12" max="12" width="5.7109375" style="1" hidden="1" customWidth="1"/>
    <col min="13" max="13" width="10.7109375" style="1" hidden="1" customWidth="1"/>
    <col min="14" max="14" width="5.7109375" style="1" hidden="1" customWidth="1"/>
    <col min="15" max="15" width="10.7109375" style="1" hidden="1" customWidth="1"/>
    <col min="16" max="16" width="5.7109375" style="2" customWidth="1"/>
    <col min="17" max="17" width="10.7109375" style="2" customWidth="1"/>
    <col min="18" max="18" width="5.7109375" style="2" customWidth="1"/>
    <col min="19" max="19" width="10.7109375" style="2" customWidth="1"/>
    <col min="20" max="20" width="5.7109375" style="2" customWidth="1"/>
    <col min="21" max="21" width="10.7109375" style="2" customWidth="1"/>
    <col min="22" max="22" width="5.7109375" style="2" customWidth="1"/>
    <col min="23" max="23" width="10.7109375" style="2" customWidth="1"/>
    <col min="24" max="24" width="5.7109375" style="2" customWidth="1"/>
    <col min="25" max="25" width="10.7109375" style="2" customWidth="1"/>
    <col min="26" max="26" width="5.7109375" style="2" customWidth="1"/>
    <col min="27" max="27" width="10.7109375" style="1" customWidth="1"/>
    <col min="28" max="28" width="9.5703125" style="1" customWidth="1"/>
    <col min="29" max="29" width="14.5703125" style="1" bestFit="1" customWidth="1"/>
    <col min="30" max="30" width="3.28515625" style="1" customWidth="1"/>
    <col min="31" max="31" width="11.42578125" style="1"/>
    <col min="32" max="32" width="3.7109375" style="1" customWidth="1"/>
    <col min="33" max="33" width="10.140625" style="1" customWidth="1"/>
    <col min="34" max="34" width="3.7109375" style="1" customWidth="1"/>
    <col min="35" max="35" width="11.42578125" style="1"/>
    <col min="36" max="36" width="3.7109375" style="1" customWidth="1"/>
    <col min="37" max="37" width="5.7109375" style="1" customWidth="1"/>
    <col min="38" max="38" width="3.7109375" style="1" customWidth="1"/>
    <col min="39" max="39" width="5.7109375" style="1" customWidth="1"/>
    <col min="40" max="40" width="3.7109375" style="1" customWidth="1"/>
    <col min="41" max="41" width="5.7109375" style="1" customWidth="1"/>
    <col min="42" max="16384" width="11.42578125" style="1"/>
  </cols>
  <sheetData>
    <row r="1" spans="1:39" ht="5.25" customHeight="1" x14ac:dyDescent="0.25">
      <c r="Y1" s="1"/>
      <c r="Z1" s="1"/>
    </row>
    <row r="2" spans="1:39" ht="21" x14ac:dyDescent="0.35">
      <c r="B2" s="3" t="s">
        <v>0</v>
      </c>
      <c r="P2" s="1"/>
      <c r="Q2" s="4"/>
      <c r="Z2" s="1"/>
    </row>
    <row r="3" spans="1:39" ht="15" customHeight="1" x14ac:dyDescent="0.25">
      <c r="A3" s="5"/>
      <c r="B3" s="6" t="s">
        <v>1</v>
      </c>
      <c r="C3" s="7"/>
      <c r="D3" s="7"/>
      <c r="E3" s="7"/>
      <c r="F3" s="7"/>
      <c r="P3" s="1"/>
      <c r="Q3" s="353"/>
      <c r="R3" s="353"/>
      <c r="S3" s="353"/>
      <c r="T3" s="353"/>
      <c r="U3" s="252"/>
      <c r="V3" s="252"/>
      <c r="Z3" s="1"/>
    </row>
    <row r="4" spans="1:39" ht="18" customHeight="1" x14ac:dyDescent="0.25">
      <c r="B4" s="253" t="s">
        <v>2</v>
      </c>
      <c r="C4" s="354" t="s">
        <v>69</v>
      </c>
      <c r="D4" s="355"/>
      <c r="E4" s="253"/>
      <c r="F4" s="253"/>
      <c r="P4" s="1"/>
      <c r="Q4" s="9"/>
      <c r="R4" s="10"/>
      <c r="S4" s="9"/>
      <c r="T4" s="9"/>
      <c r="U4" s="9"/>
      <c r="V4" s="9"/>
      <c r="Z4" s="1"/>
    </row>
    <row r="5" spans="1:39" ht="15.75" thickBot="1" x14ac:dyDescent="0.3">
      <c r="A5" s="253"/>
      <c r="B5" s="253"/>
      <c r="C5" s="253"/>
      <c r="D5" s="253"/>
      <c r="E5" s="253"/>
      <c r="J5" s="253"/>
      <c r="K5" s="253"/>
      <c r="P5" s="1"/>
      <c r="Q5" s="1"/>
      <c r="R5" s="1"/>
      <c r="S5" s="1"/>
      <c r="T5" s="1"/>
      <c r="U5" s="1"/>
      <c r="V5" s="9"/>
      <c r="W5" s="9"/>
      <c r="X5" s="9"/>
      <c r="Y5" s="9"/>
      <c r="Z5" s="9"/>
      <c r="AA5" s="9"/>
      <c r="AB5" s="2"/>
      <c r="AC5" s="2"/>
      <c r="AD5" s="2"/>
    </row>
    <row r="6" spans="1:39" ht="27.75" customHeight="1" thickBot="1" x14ac:dyDescent="0.3">
      <c r="B6" s="356" t="s">
        <v>3</v>
      </c>
      <c r="C6" s="343" t="s">
        <v>4</v>
      </c>
      <c r="D6" s="358" t="s">
        <v>43</v>
      </c>
      <c r="E6" s="359"/>
      <c r="F6" s="360"/>
      <c r="G6" s="360"/>
      <c r="H6" s="360"/>
      <c r="I6" s="361"/>
      <c r="J6" s="370" t="s">
        <v>44</v>
      </c>
      <c r="K6" s="371"/>
      <c r="L6" s="372"/>
      <c r="M6" s="372"/>
      <c r="N6" s="372"/>
      <c r="O6" s="373"/>
      <c r="P6" s="362" t="s">
        <v>42</v>
      </c>
      <c r="Q6" s="363"/>
      <c r="R6" s="364"/>
      <c r="S6" s="364"/>
      <c r="T6" s="364"/>
      <c r="U6" s="365"/>
      <c r="V6" s="366" t="s">
        <v>31</v>
      </c>
      <c r="W6" s="367"/>
      <c r="X6" s="368"/>
      <c r="Y6" s="368"/>
      <c r="Z6" s="368"/>
      <c r="AA6" s="369"/>
      <c r="AB6" s="349" t="s">
        <v>5</v>
      </c>
      <c r="AC6" s="349" t="s">
        <v>6</v>
      </c>
      <c r="AD6" s="2"/>
      <c r="AE6" s="351" t="s">
        <v>7</v>
      </c>
      <c r="AF6" s="2"/>
    </row>
    <row r="7" spans="1:39" ht="25.5" customHeight="1" thickBot="1" x14ac:dyDescent="0.3">
      <c r="B7" s="357"/>
      <c r="C7" s="344"/>
      <c r="D7" s="11" t="s">
        <v>8</v>
      </c>
      <c r="E7" s="12" t="s">
        <v>9</v>
      </c>
      <c r="F7" s="13" t="s">
        <v>8</v>
      </c>
      <c r="G7" s="14" t="s">
        <v>9</v>
      </c>
      <c r="H7" s="11" t="s">
        <v>5</v>
      </c>
      <c r="I7" s="14" t="s">
        <v>10</v>
      </c>
      <c r="J7" s="190" t="s">
        <v>8</v>
      </c>
      <c r="K7" s="192" t="s">
        <v>9</v>
      </c>
      <c r="L7" s="191" t="s">
        <v>8</v>
      </c>
      <c r="M7" s="192" t="s">
        <v>9</v>
      </c>
      <c r="N7" s="190" t="s">
        <v>5</v>
      </c>
      <c r="O7" s="192" t="s">
        <v>10</v>
      </c>
      <c r="P7" s="15" t="s">
        <v>8</v>
      </c>
      <c r="Q7" s="16" t="s">
        <v>9</v>
      </c>
      <c r="R7" s="17" t="s">
        <v>8</v>
      </c>
      <c r="S7" s="16" t="s">
        <v>9</v>
      </c>
      <c r="T7" s="15" t="s">
        <v>5</v>
      </c>
      <c r="U7" s="16" t="s">
        <v>10</v>
      </c>
      <c r="V7" s="18" t="s">
        <v>8</v>
      </c>
      <c r="W7" s="19" t="s">
        <v>9</v>
      </c>
      <c r="X7" s="20" t="s">
        <v>8</v>
      </c>
      <c r="Y7" s="21" t="s">
        <v>9</v>
      </c>
      <c r="Z7" s="18" t="s">
        <v>5</v>
      </c>
      <c r="AA7" s="21" t="s">
        <v>10</v>
      </c>
      <c r="AB7" s="350"/>
      <c r="AC7" s="350"/>
      <c r="AD7" s="2"/>
      <c r="AE7" s="352"/>
      <c r="AG7" s="22" t="s">
        <v>11</v>
      </c>
      <c r="AI7" s="22" t="s">
        <v>12</v>
      </c>
    </row>
    <row r="8" spans="1:39" x14ac:dyDescent="0.25">
      <c r="B8" s="173">
        <v>6320</v>
      </c>
      <c r="C8" s="157" t="s">
        <v>13</v>
      </c>
      <c r="D8" s="24"/>
      <c r="E8" s="25">
        <f>+D8*B8</f>
        <v>0</v>
      </c>
      <c r="F8" s="26"/>
      <c r="G8" s="27"/>
      <c r="H8" s="28">
        <f>D8+F8</f>
        <v>0</v>
      </c>
      <c r="I8" s="29">
        <f>E8+G8</f>
        <v>0</v>
      </c>
      <c r="J8" s="199"/>
      <c r="K8" s="249">
        <f>+J8*B8</f>
        <v>0</v>
      </c>
      <c r="L8" s="222"/>
      <c r="M8" s="202"/>
      <c r="N8" s="193">
        <f>J8+L8</f>
        <v>0</v>
      </c>
      <c r="O8" s="194">
        <f>K8+M8</f>
        <v>0</v>
      </c>
      <c r="P8" s="30"/>
      <c r="Q8" s="33">
        <f>+P8*B8</f>
        <v>0</v>
      </c>
      <c r="R8" s="32"/>
      <c r="S8" s="33"/>
      <c r="T8" s="34">
        <f>P8+R8</f>
        <v>0</v>
      </c>
      <c r="U8" s="35">
        <f>Q8+S8</f>
        <v>0</v>
      </c>
      <c r="V8" s="36"/>
      <c r="W8" s="37">
        <f t="shared" ref="W8:W19" si="0">+V8*B8</f>
        <v>0</v>
      </c>
      <c r="X8" s="38">
        <v>15</v>
      </c>
      <c r="Y8" s="39">
        <f>3160+1264+6320*13</f>
        <v>86584</v>
      </c>
      <c r="Z8" s="40">
        <f>V8+X8</f>
        <v>15</v>
      </c>
      <c r="AA8" s="41">
        <f>Y8+W8</f>
        <v>86584</v>
      </c>
      <c r="AB8" s="152">
        <f>+D8+F8+P8+R8+V8+X8+J8+L8</f>
        <v>15</v>
      </c>
      <c r="AC8" s="220">
        <f>+E8+G8+Q8+S8+W8+Y8+K8+M8</f>
        <v>86584</v>
      </c>
      <c r="AD8" s="44"/>
      <c r="AE8" s="156">
        <f>3160+5056</f>
        <v>8216</v>
      </c>
      <c r="AG8" s="187">
        <f>E8+W8+Q8+K8</f>
        <v>0</v>
      </c>
      <c r="AI8" s="156">
        <f>G8+Y8+S8+M8</f>
        <v>86584</v>
      </c>
      <c r="AK8" s="139">
        <f>F8+R8+X8+L8</f>
        <v>15</v>
      </c>
      <c r="AM8" s="139">
        <f>+D8+P8+V8+J8</f>
        <v>0</v>
      </c>
    </row>
    <row r="9" spans="1:39" x14ac:dyDescent="0.25">
      <c r="B9" s="174">
        <v>6320</v>
      </c>
      <c r="C9" s="180" t="s">
        <v>14</v>
      </c>
      <c r="D9" s="47"/>
      <c r="E9" s="48">
        <f t="shared" ref="E9:E19" si="1">+D9*B9</f>
        <v>0</v>
      </c>
      <c r="F9" s="49"/>
      <c r="G9" s="50"/>
      <c r="H9" s="51">
        <f>D9+F9</f>
        <v>0</v>
      </c>
      <c r="I9" s="52">
        <f>G9+E9</f>
        <v>0</v>
      </c>
      <c r="J9" s="203"/>
      <c r="K9" s="248">
        <f t="shared" ref="K9:K19" si="2">+J9*B9</f>
        <v>0</v>
      </c>
      <c r="L9" s="223"/>
      <c r="M9" s="206"/>
      <c r="N9" s="195">
        <f>J9+L9</f>
        <v>0</v>
      </c>
      <c r="O9" s="196">
        <f>M9+K9</f>
        <v>0</v>
      </c>
      <c r="P9" s="53"/>
      <c r="Q9" s="56">
        <f t="shared" ref="Q9:Q19" si="3">+P9*B9</f>
        <v>0</v>
      </c>
      <c r="R9" s="55">
        <v>7</v>
      </c>
      <c r="S9" s="56">
        <f>6320*7</f>
        <v>44240</v>
      </c>
      <c r="T9" s="57">
        <f>P9+R9</f>
        <v>7</v>
      </c>
      <c r="U9" s="58">
        <f>S9+Q9</f>
        <v>44240</v>
      </c>
      <c r="V9" s="59"/>
      <c r="W9" s="60">
        <f t="shared" si="0"/>
        <v>0</v>
      </c>
      <c r="X9" s="61">
        <v>5</v>
      </c>
      <c r="Y9" s="62">
        <f>6320*4+1264</f>
        <v>26544</v>
      </c>
      <c r="Z9" s="63">
        <f>V9+X9</f>
        <v>5</v>
      </c>
      <c r="AA9" s="41">
        <f>Y9+W9</f>
        <v>26544</v>
      </c>
      <c r="AB9" s="152">
        <f t="shared" ref="AB9:AB22" si="4">+D9+F9+P9+R9+V9+X9+J9+L9</f>
        <v>12</v>
      </c>
      <c r="AC9" s="339">
        <f t="shared" ref="AC9:AC22" si="5">+E9+G9+Q9+S9+W9+Y9+K9+M9</f>
        <v>70784</v>
      </c>
      <c r="AD9" s="44"/>
      <c r="AE9" s="151">
        <v>5056</v>
      </c>
      <c r="AG9" s="251">
        <f t="shared" ref="AG9:AG22" si="6">E9+W9+Q9+K9</f>
        <v>0</v>
      </c>
      <c r="AI9" s="151">
        <f t="shared" ref="AI9:AI22" si="7">G9+Y9+S9+M9</f>
        <v>70784</v>
      </c>
      <c r="AK9" s="142">
        <f t="shared" ref="AK9:AK22" si="8">F9+R9+X9+L9</f>
        <v>12</v>
      </c>
      <c r="AM9" s="142">
        <f t="shared" ref="AM9:AM22" si="9">+D9+P9+V9+J9</f>
        <v>0</v>
      </c>
    </row>
    <row r="10" spans="1:39" x14ac:dyDescent="0.25">
      <c r="B10" s="174">
        <v>6320</v>
      </c>
      <c r="C10" s="46" t="s">
        <v>16</v>
      </c>
      <c r="D10" s="47"/>
      <c r="E10" s="48">
        <f t="shared" si="1"/>
        <v>0</v>
      </c>
      <c r="F10" s="49"/>
      <c r="G10" s="50"/>
      <c r="H10" s="51">
        <f t="shared" ref="H10:H22" si="10">D10+F10</f>
        <v>0</v>
      </c>
      <c r="I10" s="52">
        <f t="shared" ref="I10:I22" si="11">G10+E10</f>
        <v>0</v>
      </c>
      <c r="J10" s="203"/>
      <c r="K10" s="248">
        <f t="shared" si="2"/>
        <v>0</v>
      </c>
      <c r="L10" s="223"/>
      <c r="M10" s="206"/>
      <c r="N10" s="195">
        <f t="shared" ref="N10:N22" si="12">J10+L10</f>
        <v>0</v>
      </c>
      <c r="O10" s="196">
        <f t="shared" ref="O10:O22" si="13">M10+K10</f>
        <v>0</v>
      </c>
      <c r="P10" s="53"/>
      <c r="Q10" s="56">
        <f t="shared" si="3"/>
        <v>0</v>
      </c>
      <c r="R10" s="55"/>
      <c r="S10" s="56"/>
      <c r="T10" s="57">
        <f t="shared" ref="T10:T22" si="14">P10+R10</f>
        <v>0</v>
      </c>
      <c r="U10" s="58">
        <f t="shared" ref="U10:U22" si="15">S10+Q10</f>
        <v>0</v>
      </c>
      <c r="V10" s="59"/>
      <c r="W10" s="60">
        <f t="shared" si="0"/>
        <v>0</v>
      </c>
      <c r="X10" s="61"/>
      <c r="Y10" s="62"/>
      <c r="Z10" s="63">
        <f t="shared" ref="Z10:Z22" si="16">V10+X10</f>
        <v>0</v>
      </c>
      <c r="AA10" s="41">
        <f t="shared" ref="AA10:AA22" si="17">Y10+W10</f>
        <v>0</v>
      </c>
      <c r="AB10" s="42">
        <f t="shared" si="4"/>
        <v>0</v>
      </c>
      <c r="AC10" s="188">
        <f t="shared" si="5"/>
        <v>0</v>
      </c>
      <c r="AD10" s="44"/>
      <c r="AE10" s="64"/>
      <c r="AG10" s="218">
        <f t="shared" si="6"/>
        <v>0</v>
      </c>
      <c r="AI10" s="64">
        <f t="shared" si="7"/>
        <v>0</v>
      </c>
      <c r="AK10" s="142">
        <f t="shared" si="8"/>
        <v>0</v>
      </c>
      <c r="AM10" s="142">
        <f t="shared" si="9"/>
        <v>0</v>
      </c>
    </row>
    <row r="11" spans="1:39" x14ac:dyDescent="0.25">
      <c r="B11" s="174">
        <v>6320</v>
      </c>
      <c r="C11" s="153" t="s">
        <v>17</v>
      </c>
      <c r="D11" s="65"/>
      <c r="E11" s="48">
        <f t="shared" si="1"/>
        <v>0</v>
      </c>
      <c r="F11" s="49"/>
      <c r="G11" s="50"/>
      <c r="H11" s="51">
        <f t="shared" si="10"/>
        <v>0</v>
      </c>
      <c r="I11" s="52">
        <f t="shared" si="11"/>
        <v>0</v>
      </c>
      <c r="J11" s="207"/>
      <c r="K11" s="248">
        <f t="shared" si="2"/>
        <v>0</v>
      </c>
      <c r="L11" s="223"/>
      <c r="M11" s="206"/>
      <c r="N11" s="195">
        <f t="shared" si="12"/>
        <v>0</v>
      </c>
      <c r="O11" s="196">
        <f t="shared" si="13"/>
        <v>0</v>
      </c>
      <c r="P11" s="66"/>
      <c r="Q11" s="56">
        <f t="shared" si="3"/>
        <v>0</v>
      </c>
      <c r="R11" s="67">
        <v>10</v>
      </c>
      <c r="S11" s="56">
        <f>6320*10</f>
        <v>63200</v>
      </c>
      <c r="T11" s="57">
        <f t="shared" si="14"/>
        <v>10</v>
      </c>
      <c r="U11" s="58">
        <f t="shared" si="15"/>
        <v>63200</v>
      </c>
      <c r="V11" s="68"/>
      <c r="W11" s="60">
        <f t="shared" si="0"/>
        <v>0</v>
      </c>
      <c r="X11" s="69">
        <v>8</v>
      </c>
      <c r="Y11" s="62">
        <f>6320*8</f>
        <v>50560</v>
      </c>
      <c r="Z11" s="63">
        <f t="shared" si="16"/>
        <v>8</v>
      </c>
      <c r="AA11" s="41">
        <f t="shared" si="17"/>
        <v>50560</v>
      </c>
      <c r="AB11" s="152">
        <f t="shared" si="4"/>
        <v>18</v>
      </c>
      <c r="AC11" s="220">
        <f t="shared" si="5"/>
        <v>113760</v>
      </c>
      <c r="AD11" s="70"/>
      <c r="AE11" s="64"/>
      <c r="AG11" s="218">
        <f t="shared" si="6"/>
        <v>0</v>
      </c>
      <c r="AI11" s="151">
        <f t="shared" si="7"/>
        <v>113760</v>
      </c>
      <c r="AK11" s="142">
        <f t="shared" si="8"/>
        <v>18</v>
      </c>
      <c r="AM11" s="142">
        <f t="shared" si="9"/>
        <v>0</v>
      </c>
    </row>
    <row r="12" spans="1:39" x14ac:dyDescent="0.25">
      <c r="B12" s="174">
        <v>6320</v>
      </c>
      <c r="C12" s="46" t="s">
        <v>18</v>
      </c>
      <c r="D12" s="65"/>
      <c r="E12" s="48">
        <f t="shared" si="1"/>
        <v>0</v>
      </c>
      <c r="F12" s="49"/>
      <c r="G12" s="50"/>
      <c r="H12" s="51">
        <f t="shared" si="10"/>
        <v>0</v>
      </c>
      <c r="I12" s="52">
        <f t="shared" si="11"/>
        <v>0</v>
      </c>
      <c r="J12" s="207"/>
      <c r="K12" s="248">
        <f t="shared" si="2"/>
        <v>0</v>
      </c>
      <c r="L12" s="223"/>
      <c r="M12" s="206"/>
      <c r="N12" s="195">
        <f t="shared" si="12"/>
        <v>0</v>
      </c>
      <c r="O12" s="196">
        <f t="shared" si="13"/>
        <v>0</v>
      </c>
      <c r="P12" s="66"/>
      <c r="Q12" s="56">
        <f t="shared" si="3"/>
        <v>0</v>
      </c>
      <c r="R12" s="67"/>
      <c r="S12" s="56"/>
      <c r="T12" s="57">
        <f t="shared" si="14"/>
        <v>0</v>
      </c>
      <c r="U12" s="58">
        <f t="shared" si="15"/>
        <v>0</v>
      </c>
      <c r="V12" s="68"/>
      <c r="W12" s="60">
        <f t="shared" si="0"/>
        <v>0</v>
      </c>
      <c r="X12" s="69"/>
      <c r="Y12" s="62"/>
      <c r="Z12" s="63">
        <f t="shared" si="16"/>
        <v>0</v>
      </c>
      <c r="AA12" s="41">
        <f t="shared" si="17"/>
        <v>0</v>
      </c>
      <c r="AB12" s="42">
        <f t="shared" si="4"/>
        <v>0</v>
      </c>
      <c r="AC12" s="188">
        <f t="shared" si="5"/>
        <v>0</v>
      </c>
      <c r="AD12" s="71"/>
      <c r="AE12" s="64"/>
      <c r="AG12" s="218">
        <f t="shared" si="6"/>
        <v>0</v>
      </c>
      <c r="AI12" s="64">
        <f t="shared" si="7"/>
        <v>0</v>
      </c>
      <c r="AK12" s="142">
        <f t="shared" si="8"/>
        <v>0</v>
      </c>
      <c r="AM12" s="142">
        <f t="shared" si="9"/>
        <v>0</v>
      </c>
    </row>
    <row r="13" spans="1:39" x14ac:dyDescent="0.25">
      <c r="B13" s="174">
        <v>6320</v>
      </c>
      <c r="C13" s="153" t="s">
        <v>19</v>
      </c>
      <c r="D13" s="65"/>
      <c r="E13" s="48">
        <f t="shared" si="1"/>
        <v>0</v>
      </c>
      <c r="F13" s="49"/>
      <c r="G13" s="50"/>
      <c r="H13" s="51">
        <f t="shared" si="10"/>
        <v>0</v>
      </c>
      <c r="I13" s="52">
        <f t="shared" si="11"/>
        <v>0</v>
      </c>
      <c r="J13" s="207"/>
      <c r="K13" s="248">
        <f t="shared" si="2"/>
        <v>0</v>
      </c>
      <c r="L13" s="223"/>
      <c r="M13" s="206"/>
      <c r="N13" s="195">
        <f t="shared" si="12"/>
        <v>0</v>
      </c>
      <c r="O13" s="196">
        <f t="shared" si="13"/>
        <v>0</v>
      </c>
      <c r="P13" s="66"/>
      <c r="Q13" s="56">
        <f t="shared" si="3"/>
        <v>0</v>
      </c>
      <c r="R13" s="67">
        <v>6</v>
      </c>
      <c r="S13" s="56">
        <f>6320*6</f>
        <v>37920</v>
      </c>
      <c r="T13" s="57">
        <f t="shared" si="14"/>
        <v>6</v>
      </c>
      <c r="U13" s="58">
        <f t="shared" si="15"/>
        <v>37920</v>
      </c>
      <c r="V13" s="68"/>
      <c r="W13" s="60">
        <f t="shared" si="0"/>
        <v>0</v>
      </c>
      <c r="X13" s="69">
        <v>4</v>
      </c>
      <c r="Y13" s="62">
        <f>6320*4</f>
        <v>25280</v>
      </c>
      <c r="Z13" s="63">
        <f t="shared" si="16"/>
        <v>4</v>
      </c>
      <c r="AA13" s="41">
        <f t="shared" si="17"/>
        <v>25280</v>
      </c>
      <c r="AB13" s="152">
        <f t="shared" si="4"/>
        <v>10</v>
      </c>
      <c r="AC13" s="220">
        <f t="shared" si="5"/>
        <v>63200</v>
      </c>
      <c r="AD13" s="70"/>
      <c r="AE13" s="64"/>
      <c r="AG13" s="218">
        <f t="shared" si="6"/>
        <v>0</v>
      </c>
      <c r="AI13" s="151">
        <f t="shared" si="7"/>
        <v>63200</v>
      </c>
      <c r="AK13" s="142">
        <f t="shared" si="8"/>
        <v>10</v>
      </c>
      <c r="AM13" s="142">
        <f t="shared" si="9"/>
        <v>0</v>
      </c>
    </row>
    <row r="14" spans="1:39" x14ac:dyDescent="0.25">
      <c r="B14" s="174">
        <v>6320</v>
      </c>
      <c r="C14" s="46" t="s">
        <v>20</v>
      </c>
      <c r="D14" s="65"/>
      <c r="E14" s="48">
        <f t="shared" si="1"/>
        <v>0</v>
      </c>
      <c r="F14" s="49"/>
      <c r="G14" s="50"/>
      <c r="H14" s="51">
        <f t="shared" si="10"/>
        <v>0</v>
      </c>
      <c r="I14" s="52">
        <f t="shared" si="11"/>
        <v>0</v>
      </c>
      <c r="J14" s="207"/>
      <c r="K14" s="248">
        <f t="shared" si="2"/>
        <v>0</v>
      </c>
      <c r="L14" s="223"/>
      <c r="M14" s="206"/>
      <c r="N14" s="195">
        <f t="shared" si="12"/>
        <v>0</v>
      </c>
      <c r="O14" s="196">
        <f t="shared" si="13"/>
        <v>0</v>
      </c>
      <c r="P14" s="66"/>
      <c r="Q14" s="56">
        <f t="shared" si="3"/>
        <v>0</v>
      </c>
      <c r="R14" s="67"/>
      <c r="S14" s="56"/>
      <c r="T14" s="57">
        <f t="shared" si="14"/>
        <v>0</v>
      </c>
      <c r="U14" s="58">
        <f t="shared" si="15"/>
        <v>0</v>
      </c>
      <c r="V14" s="68"/>
      <c r="W14" s="60">
        <f t="shared" si="0"/>
        <v>0</v>
      </c>
      <c r="X14" s="69"/>
      <c r="Y14" s="62"/>
      <c r="Z14" s="63">
        <f t="shared" si="16"/>
        <v>0</v>
      </c>
      <c r="AA14" s="41">
        <f t="shared" si="17"/>
        <v>0</v>
      </c>
      <c r="AB14" s="42">
        <f t="shared" si="4"/>
        <v>0</v>
      </c>
      <c r="AC14" s="188">
        <f t="shared" si="5"/>
        <v>0</v>
      </c>
      <c r="AD14" s="70"/>
      <c r="AE14" s="64"/>
      <c r="AG14" s="218">
        <f t="shared" si="6"/>
        <v>0</v>
      </c>
      <c r="AI14" s="64">
        <f t="shared" si="7"/>
        <v>0</v>
      </c>
      <c r="AK14" s="142">
        <f t="shared" si="8"/>
        <v>0</v>
      </c>
      <c r="AM14" s="142">
        <f t="shared" si="9"/>
        <v>0</v>
      </c>
    </row>
    <row r="15" spans="1:39" x14ac:dyDescent="0.25">
      <c r="B15" s="174">
        <v>6320</v>
      </c>
      <c r="C15" s="46" t="s">
        <v>21</v>
      </c>
      <c r="D15" s="65"/>
      <c r="E15" s="48">
        <f t="shared" si="1"/>
        <v>0</v>
      </c>
      <c r="F15" s="49"/>
      <c r="G15" s="50"/>
      <c r="H15" s="51">
        <f t="shared" si="10"/>
        <v>0</v>
      </c>
      <c r="I15" s="52">
        <f t="shared" si="11"/>
        <v>0</v>
      </c>
      <c r="J15" s="207"/>
      <c r="K15" s="248">
        <f t="shared" si="2"/>
        <v>0</v>
      </c>
      <c r="L15" s="223"/>
      <c r="M15" s="206"/>
      <c r="N15" s="195">
        <f t="shared" si="12"/>
        <v>0</v>
      </c>
      <c r="O15" s="196">
        <f t="shared" si="13"/>
        <v>0</v>
      </c>
      <c r="P15" s="66"/>
      <c r="Q15" s="56">
        <f t="shared" si="3"/>
        <v>0</v>
      </c>
      <c r="R15" s="67"/>
      <c r="S15" s="56"/>
      <c r="T15" s="57">
        <f t="shared" si="14"/>
        <v>0</v>
      </c>
      <c r="U15" s="58">
        <f t="shared" si="15"/>
        <v>0</v>
      </c>
      <c r="V15" s="68"/>
      <c r="W15" s="60">
        <f t="shared" si="0"/>
        <v>0</v>
      </c>
      <c r="X15" s="69"/>
      <c r="Y15" s="62"/>
      <c r="Z15" s="63">
        <f t="shared" si="16"/>
        <v>0</v>
      </c>
      <c r="AA15" s="41">
        <f t="shared" si="17"/>
        <v>0</v>
      </c>
      <c r="AB15" s="42">
        <f t="shared" si="4"/>
        <v>0</v>
      </c>
      <c r="AC15" s="188">
        <f t="shared" si="5"/>
        <v>0</v>
      </c>
      <c r="AD15" s="70"/>
      <c r="AE15" s="64"/>
      <c r="AG15" s="218">
        <f t="shared" si="6"/>
        <v>0</v>
      </c>
      <c r="AI15" s="64">
        <f t="shared" si="7"/>
        <v>0</v>
      </c>
      <c r="AK15" s="142">
        <f t="shared" si="8"/>
        <v>0</v>
      </c>
      <c r="AM15" s="142">
        <f t="shared" si="9"/>
        <v>0</v>
      </c>
    </row>
    <row r="16" spans="1:39" x14ac:dyDescent="0.25">
      <c r="B16" s="174" t="s">
        <v>26</v>
      </c>
      <c r="C16" s="46" t="s">
        <v>33</v>
      </c>
      <c r="D16" s="65"/>
      <c r="E16" s="48">
        <v>0</v>
      </c>
      <c r="F16" s="49"/>
      <c r="G16" s="50"/>
      <c r="H16" s="51">
        <f t="shared" si="10"/>
        <v>0</v>
      </c>
      <c r="I16" s="52">
        <f t="shared" si="11"/>
        <v>0</v>
      </c>
      <c r="J16" s="207"/>
      <c r="K16" s="248">
        <v>0</v>
      </c>
      <c r="L16" s="223"/>
      <c r="M16" s="206"/>
      <c r="N16" s="195">
        <f t="shared" si="12"/>
        <v>0</v>
      </c>
      <c r="O16" s="196">
        <f t="shared" si="13"/>
        <v>0</v>
      </c>
      <c r="P16" s="66"/>
      <c r="Q16" s="56">
        <v>0</v>
      </c>
      <c r="R16" s="67"/>
      <c r="S16" s="56"/>
      <c r="T16" s="57">
        <f t="shared" si="14"/>
        <v>0</v>
      </c>
      <c r="U16" s="58">
        <v>0</v>
      </c>
      <c r="V16" s="68"/>
      <c r="W16" s="60">
        <v>0</v>
      </c>
      <c r="X16" s="69"/>
      <c r="Y16" s="62"/>
      <c r="Z16" s="63">
        <f>+X16+V16</f>
        <v>0</v>
      </c>
      <c r="AA16" s="41">
        <f>+Y16+W16</f>
        <v>0</v>
      </c>
      <c r="AB16" s="42">
        <f t="shared" si="4"/>
        <v>0</v>
      </c>
      <c r="AC16" s="188">
        <f t="shared" si="5"/>
        <v>0</v>
      </c>
      <c r="AD16" s="70"/>
      <c r="AE16" s="64"/>
      <c r="AG16" s="218">
        <f t="shared" si="6"/>
        <v>0</v>
      </c>
      <c r="AI16" s="64">
        <f t="shared" si="7"/>
        <v>0</v>
      </c>
      <c r="AK16" s="142">
        <f t="shared" si="8"/>
        <v>0</v>
      </c>
      <c r="AM16" s="142">
        <f t="shared" si="9"/>
        <v>0</v>
      </c>
    </row>
    <row r="17" spans="2:41" x14ac:dyDescent="0.25">
      <c r="B17" s="175">
        <v>14010</v>
      </c>
      <c r="C17" s="46" t="s">
        <v>23</v>
      </c>
      <c r="D17" s="65"/>
      <c r="E17" s="48">
        <f t="shared" si="1"/>
        <v>0</v>
      </c>
      <c r="F17" s="49"/>
      <c r="G17" s="50"/>
      <c r="H17" s="51">
        <f t="shared" si="10"/>
        <v>0</v>
      </c>
      <c r="I17" s="52">
        <f t="shared" si="11"/>
        <v>0</v>
      </c>
      <c r="J17" s="207"/>
      <c r="K17" s="248">
        <f t="shared" si="2"/>
        <v>0</v>
      </c>
      <c r="L17" s="223"/>
      <c r="M17" s="206"/>
      <c r="N17" s="195">
        <f t="shared" si="12"/>
        <v>0</v>
      </c>
      <c r="O17" s="196">
        <f t="shared" si="13"/>
        <v>0</v>
      </c>
      <c r="P17" s="66"/>
      <c r="Q17" s="56">
        <f t="shared" si="3"/>
        <v>0</v>
      </c>
      <c r="R17" s="67"/>
      <c r="S17" s="56"/>
      <c r="T17" s="57">
        <f t="shared" si="14"/>
        <v>0</v>
      </c>
      <c r="U17" s="58">
        <f t="shared" si="15"/>
        <v>0</v>
      </c>
      <c r="V17" s="68"/>
      <c r="W17" s="60">
        <f t="shared" si="0"/>
        <v>0</v>
      </c>
      <c r="X17" s="69"/>
      <c r="Y17" s="62"/>
      <c r="Z17" s="63">
        <f t="shared" si="16"/>
        <v>0</v>
      </c>
      <c r="AA17" s="41">
        <f t="shared" si="17"/>
        <v>0</v>
      </c>
      <c r="AB17" s="42">
        <f t="shared" si="4"/>
        <v>0</v>
      </c>
      <c r="AC17" s="188">
        <f t="shared" si="5"/>
        <v>0</v>
      </c>
      <c r="AD17" s="70"/>
      <c r="AE17" s="64"/>
      <c r="AG17" s="218">
        <f t="shared" si="6"/>
        <v>0</v>
      </c>
      <c r="AI17" s="64">
        <f t="shared" si="7"/>
        <v>0</v>
      </c>
      <c r="AK17" s="142">
        <f t="shared" si="8"/>
        <v>0</v>
      </c>
      <c r="AM17" s="142">
        <f t="shared" si="9"/>
        <v>0</v>
      </c>
    </row>
    <row r="18" spans="2:41" x14ac:dyDescent="0.25">
      <c r="B18" s="174">
        <v>11870</v>
      </c>
      <c r="C18" s="153" t="s">
        <v>24</v>
      </c>
      <c r="D18" s="65"/>
      <c r="E18" s="48">
        <f t="shared" si="1"/>
        <v>0</v>
      </c>
      <c r="F18" s="49"/>
      <c r="G18" s="50"/>
      <c r="H18" s="51">
        <f t="shared" si="10"/>
        <v>0</v>
      </c>
      <c r="I18" s="52">
        <f t="shared" si="11"/>
        <v>0</v>
      </c>
      <c r="J18" s="207"/>
      <c r="K18" s="248">
        <f t="shared" si="2"/>
        <v>0</v>
      </c>
      <c r="L18" s="223"/>
      <c r="M18" s="206"/>
      <c r="N18" s="195">
        <f t="shared" si="12"/>
        <v>0</v>
      </c>
      <c r="O18" s="196">
        <f t="shared" si="13"/>
        <v>0</v>
      </c>
      <c r="P18" s="66"/>
      <c r="Q18" s="56">
        <f t="shared" si="3"/>
        <v>0</v>
      </c>
      <c r="R18" s="67"/>
      <c r="S18" s="56"/>
      <c r="T18" s="57">
        <f t="shared" si="14"/>
        <v>0</v>
      </c>
      <c r="U18" s="58">
        <f t="shared" si="15"/>
        <v>0</v>
      </c>
      <c r="V18" s="68"/>
      <c r="W18" s="60">
        <f t="shared" si="0"/>
        <v>0</v>
      </c>
      <c r="X18" s="69">
        <v>3</v>
      </c>
      <c r="Y18" s="62">
        <f>11870*3</f>
        <v>35610</v>
      </c>
      <c r="Z18" s="63">
        <f t="shared" si="16"/>
        <v>3</v>
      </c>
      <c r="AA18" s="41">
        <f t="shared" si="17"/>
        <v>35610</v>
      </c>
      <c r="AB18" s="152">
        <f t="shared" si="4"/>
        <v>3</v>
      </c>
      <c r="AC18" s="220">
        <f t="shared" si="5"/>
        <v>35610</v>
      </c>
      <c r="AD18" s="70"/>
      <c r="AE18" s="64"/>
      <c r="AG18" s="218">
        <f t="shared" si="6"/>
        <v>0</v>
      </c>
      <c r="AI18" s="151">
        <f t="shared" si="7"/>
        <v>35610</v>
      </c>
      <c r="AK18" s="142">
        <f t="shared" si="8"/>
        <v>3</v>
      </c>
      <c r="AM18" s="142">
        <f t="shared" si="9"/>
        <v>0</v>
      </c>
    </row>
    <row r="19" spans="2:41" x14ac:dyDescent="0.25">
      <c r="B19" s="174">
        <v>6710</v>
      </c>
      <c r="C19" s="153" t="s">
        <v>0</v>
      </c>
      <c r="D19" s="65"/>
      <c r="E19" s="48">
        <f t="shared" si="1"/>
        <v>0</v>
      </c>
      <c r="F19" s="72"/>
      <c r="G19" s="50"/>
      <c r="H19" s="51">
        <f t="shared" si="10"/>
        <v>0</v>
      </c>
      <c r="I19" s="52">
        <f t="shared" si="11"/>
        <v>0</v>
      </c>
      <c r="J19" s="207"/>
      <c r="K19" s="248">
        <f t="shared" si="2"/>
        <v>0</v>
      </c>
      <c r="L19" s="224"/>
      <c r="M19" s="206"/>
      <c r="N19" s="195">
        <f t="shared" si="12"/>
        <v>0</v>
      </c>
      <c r="O19" s="196">
        <f t="shared" si="13"/>
        <v>0</v>
      </c>
      <c r="P19" s="66"/>
      <c r="Q19" s="56">
        <f t="shared" si="3"/>
        <v>0</v>
      </c>
      <c r="R19" s="73">
        <v>6</v>
      </c>
      <c r="S19" s="56">
        <f>6710*6</f>
        <v>40260</v>
      </c>
      <c r="T19" s="57">
        <f t="shared" si="14"/>
        <v>6</v>
      </c>
      <c r="U19" s="58">
        <f t="shared" si="15"/>
        <v>40260</v>
      </c>
      <c r="V19" s="68"/>
      <c r="W19" s="60">
        <f t="shared" si="0"/>
        <v>0</v>
      </c>
      <c r="X19" s="74">
        <v>1</v>
      </c>
      <c r="Y19" s="62">
        <v>6710</v>
      </c>
      <c r="Z19" s="63">
        <f t="shared" si="16"/>
        <v>1</v>
      </c>
      <c r="AA19" s="41">
        <f t="shared" si="17"/>
        <v>6710</v>
      </c>
      <c r="AB19" s="152">
        <f t="shared" si="4"/>
        <v>7</v>
      </c>
      <c r="AC19" s="220">
        <f t="shared" si="5"/>
        <v>46970</v>
      </c>
      <c r="AD19" s="70"/>
      <c r="AE19" s="64"/>
      <c r="AF19" s="1" t="s">
        <v>25</v>
      </c>
      <c r="AG19" s="218">
        <f t="shared" si="6"/>
        <v>0</v>
      </c>
      <c r="AI19" s="151">
        <f t="shared" si="7"/>
        <v>46970</v>
      </c>
      <c r="AK19" s="142">
        <f t="shared" si="8"/>
        <v>7</v>
      </c>
      <c r="AM19" s="142">
        <f t="shared" si="9"/>
        <v>0</v>
      </c>
    </row>
    <row r="20" spans="2:41" x14ac:dyDescent="0.25">
      <c r="B20" s="174" t="s">
        <v>26</v>
      </c>
      <c r="C20" s="46" t="s">
        <v>0</v>
      </c>
      <c r="D20" s="65"/>
      <c r="E20" s="48">
        <v>0</v>
      </c>
      <c r="F20" s="49"/>
      <c r="G20" s="50"/>
      <c r="H20" s="51">
        <f t="shared" si="10"/>
        <v>0</v>
      </c>
      <c r="I20" s="52">
        <f t="shared" si="11"/>
        <v>0</v>
      </c>
      <c r="J20" s="207"/>
      <c r="K20" s="248">
        <v>0</v>
      </c>
      <c r="L20" s="223"/>
      <c r="M20" s="206"/>
      <c r="N20" s="195">
        <f t="shared" si="12"/>
        <v>0</v>
      </c>
      <c r="O20" s="196">
        <f t="shared" si="13"/>
        <v>0</v>
      </c>
      <c r="P20" s="66"/>
      <c r="Q20" s="56">
        <v>0</v>
      </c>
      <c r="R20" s="67"/>
      <c r="S20" s="56"/>
      <c r="T20" s="57">
        <f t="shared" si="14"/>
        <v>0</v>
      </c>
      <c r="U20" s="58">
        <f t="shared" si="15"/>
        <v>0</v>
      </c>
      <c r="V20" s="68"/>
      <c r="W20" s="60">
        <v>0</v>
      </c>
      <c r="X20" s="69"/>
      <c r="Y20" s="62"/>
      <c r="Z20" s="63">
        <f t="shared" si="16"/>
        <v>0</v>
      </c>
      <c r="AA20" s="41">
        <f t="shared" si="17"/>
        <v>0</v>
      </c>
      <c r="AB20" s="42">
        <f t="shared" si="4"/>
        <v>0</v>
      </c>
      <c r="AC20" s="188">
        <f t="shared" si="5"/>
        <v>0</v>
      </c>
      <c r="AD20" s="70"/>
      <c r="AE20" s="64"/>
      <c r="AG20" s="218">
        <f t="shared" si="6"/>
        <v>0</v>
      </c>
      <c r="AI20" s="64">
        <f t="shared" si="7"/>
        <v>0</v>
      </c>
      <c r="AK20" s="142">
        <f t="shared" si="8"/>
        <v>0</v>
      </c>
      <c r="AM20" s="142">
        <f t="shared" si="9"/>
        <v>0</v>
      </c>
    </row>
    <row r="21" spans="2:41" x14ac:dyDescent="0.25">
      <c r="B21" s="174" t="s">
        <v>26</v>
      </c>
      <c r="C21" s="46" t="s">
        <v>28</v>
      </c>
      <c r="D21" s="65"/>
      <c r="E21" s="75">
        <v>0</v>
      </c>
      <c r="F21" s="49"/>
      <c r="G21" s="50"/>
      <c r="H21" s="51">
        <f t="shared" si="10"/>
        <v>0</v>
      </c>
      <c r="I21" s="52">
        <f t="shared" si="11"/>
        <v>0</v>
      </c>
      <c r="J21" s="207"/>
      <c r="K21" s="248">
        <v>0</v>
      </c>
      <c r="L21" s="223"/>
      <c r="M21" s="206"/>
      <c r="N21" s="195">
        <f t="shared" si="12"/>
        <v>0</v>
      </c>
      <c r="O21" s="196">
        <f t="shared" si="13"/>
        <v>0</v>
      </c>
      <c r="P21" s="66"/>
      <c r="Q21" s="56">
        <v>0</v>
      </c>
      <c r="R21" s="67"/>
      <c r="S21" s="56"/>
      <c r="T21" s="57">
        <f t="shared" si="14"/>
        <v>0</v>
      </c>
      <c r="U21" s="58">
        <f t="shared" si="15"/>
        <v>0</v>
      </c>
      <c r="V21" s="68"/>
      <c r="W21" s="60">
        <v>0</v>
      </c>
      <c r="X21" s="69"/>
      <c r="Y21" s="62"/>
      <c r="Z21" s="63">
        <f t="shared" si="16"/>
        <v>0</v>
      </c>
      <c r="AA21" s="41">
        <f t="shared" si="17"/>
        <v>0</v>
      </c>
      <c r="AB21" s="42">
        <f t="shared" si="4"/>
        <v>0</v>
      </c>
      <c r="AC21" s="188">
        <f t="shared" si="5"/>
        <v>0</v>
      </c>
      <c r="AD21" s="70"/>
      <c r="AE21" s="64"/>
      <c r="AG21" s="218">
        <f t="shared" si="6"/>
        <v>0</v>
      </c>
      <c r="AI21" s="64">
        <f t="shared" si="7"/>
        <v>0</v>
      </c>
      <c r="AK21" s="142">
        <f t="shared" si="8"/>
        <v>0</v>
      </c>
      <c r="AM21" s="142">
        <f t="shared" si="9"/>
        <v>0</v>
      </c>
    </row>
    <row r="22" spans="2:41" ht="15.75" thickBot="1" x14ac:dyDescent="0.3">
      <c r="B22" s="176" t="s">
        <v>26</v>
      </c>
      <c r="C22" s="76" t="s">
        <v>29</v>
      </c>
      <c r="D22" s="77"/>
      <c r="E22" s="78">
        <v>0</v>
      </c>
      <c r="F22" s="79"/>
      <c r="G22" s="80"/>
      <c r="H22" s="81">
        <f t="shared" si="10"/>
        <v>0</v>
      </c>
      <c r="I22" s="82">
        <f t="shared" si="11"/>
        <v>0</v>
      </c>
      <c r="J22" s="210"/>
      <c r="K22" s="250">
        <v>0</v>
      </c>
      <c r="L22" s="225"/>
      <c r="M22" s="213"/>
      <c r="N22" s="197">
        <f t="shared" si="12"/>
        <v>0</v>
      </c>
      <c r="O22" s="198">
        <f t="shared" si="13"/>
        <v>0</v>
      </c>
      <c r="P22" s="245"/>
      <c r="Q22" s="237">
        <v>0</v>
      </c>
      <c r="R22" s="85"/>
      <c r="S22" s="86"/>
      <c r="T22" s="87">
        <f t="shared" si="14"/>
        <v>0</v>
      </c>
      <c r="U22" s="88">
        <f t="shared" si="15"/>
        <v>0</v>
      </c>
      <c r="V22" s="89"/>
      <c r="W22" s="60">
        <v>0</v>
      </c>
      <c r="X22" s="90"/>
      <c r="Y22" s="91"/>
      <c r="Z22" s="92">
        <f t="shared" si="16"/>
        <v>0</v>
      </c>
      <c r="AA22" s="93">
        <f t="shared" si="17"/>
        <v>0</v>
      </c>
      <c r="AB22" s="42">
        <f t="shared" si="4"/>
        <v>0</v>
      </c>
      <c r="AC22" s="188">
        <f t="shared" si="5"/>
        <v>0</v>
      </c>
      <c r="AD22" s="70"/>
      <c r="AE22" s="94"/>
      <c r="AG22" s="219">
        <f t="shared" si="6"/>
        <v>0</v>
      </c>
      <c r="AI22" s="94">
        <f t="shared" si="7"/>
        <v>0</v>
      </c>
      <c r="AK22" s="144">
        <f t="shared" si="8"/>
        <v>0</v>
      </c>
      <c r="AM22" s="144">
        <f t="shared" si="9"/>
        <v>0</v>
      </c>
    </row>
    <row r="23" spans="2:41" ht="15.75" thickBot="1" x14ac:dyDescent="0.3">
      <c r="D23" s="95">
        <f t="shared" ref="D23:I23" si="18">SUM(D8:D22)</f>
        <v>0</v>
      </c>
      <c r="E23" s="96">
        <f t="shared" si="18"/>
        <v>0</v>
      </c>
      <c r="F23" s="95">
        <f t="shared" si="18"/>
        <v>0</v>
      </c>
      <c r="G23" s="97">
        <f t="shared" si="18"/>
        <v>0</v>
      </c>
      <c r="H23" s="98">
        <f t="shared" si="18"/>
        <v>0</v>
      </c>
      <c r="I23" s="99">
        <f t="shared" si="18"/>
        <v>0</v>
      </c>
      <c r="J23" s="214">
        <f t="shared" ref="J23:O23" si="19">SUM(J8:J22)</f>
        <v>0</v>
      </c>
      <c r="K23" s="226">
        <f t="shared" si="19"/>
        <v>0</v>
      </c>
      <c r="L23" s="214">
        <f t="shared" si="19"/>
        <v>0</v>
      </c>
      <c r="M23" s="216">
        <f t="shared" si="19"/>
        <v>0</v>
      </c>
      <c r="N23" s="217">
        <f t="shared" si="19"/>
        <v>0</v>
      </c>
      <c r="O23" s="99">
        <f t="shared" si="19"/>
        <v>0</v>
      </c>
      <c r="P23" s="244">
        <f t="shared" ref="P23:AA23" si="20">SUM(P8:P22)</f>
        <v>0</v>
      </c>
      <c r="Q23" s="101">
        <f t="shared" si="20"/>
        <v>0</v>
      </c>
      <c r="R23" s="100">
        <f t="shared" si="20"/>
        <v>29</v>
      </c>
      <c r="S23" s="102">
        <f t="shared" si="20"/>
        <v>185620</v>
      </c>
      <c r="T23" s="103">
        <f t="shared" si="20"/>
        <v>29</v>
      </c>
      <c r="U23" s="104">
        <f t="shared" si="20"/>
        <v>185620</v>
      </c>
      <c r="V23" s="105">
        <f t="shared" si="20"/>
        <v>0</v>
      </c>
      <c r="W23" s="106">
        <f t="shared" si="20"/>
        <v>0</v>
      </c>
      <c r="X23" s="105">
        <f t="shared" si="20"/>
        <v>36</v>
      </c>
      <c r="Y23" s="107">
        <f t="shared" si="20"/>
        <v>231288</v>
      </c>
      <c r="Z23" s="108">
        <f t="shared" si="20"/>
        <v>36</v>
      </c>
      <c r="AA23" s="104">
        <f t="shared" si="20"/>
        <v>231288</v>
      </c>
      <c r="AB23" s="109" t="s">
        <v>9</v>
      </c>
      <c r="AC23" s="43">
        <f>SUM(AC8:AC22)</f>
        <v>416908</v>
      </c>
      <c r="AD23" s="70"/>
      <c r="AE23" s="1">
        <f>SUM(AE8:AE22)</f>
        <v>13272</v>
      </c>
      <c r="AI23" s="110"/>
      <c r="AK23" s="1">
        <f>SUM(AK8:AK22)</f>
        <v>65</v>
      </c>
      <c r="AM23" s="1">
        <f>SUM(AM8:AM22)</f>
        <v>0</v>
      </c>
      <c r="AO23" s="1">
        <f>+AK23+AM23</f>
        <v>65</v>
      </c>
    </row>
    <row r="24" spans="2:41" x14ac:dyDescent="0.25">
      <c r="G24" s="111"/>
      <c r="H24" s="111"/>
      <c r="I24" s="111"/>
      <c r="M24" s="111"/>
      <c r="N24" s="111"/>
      <c r="O24" s="111"/>
      <c r="P24" s="111"/>
      <c r="Q24" s="111"/>
      <c r="R24" s="112">
        <f>X23+F23+R23+L23</f>
        <v>65</v>
      </c>
      <c r="S24" s="113">
        <f>G23+Y23+S23+M23</f>
        <v>416908</v>
      </c>
      <c r="T24" s="111"/>
      <c r="U24" s="111"/>
      <c r="V24" s="111"/>
      <c r="W24" s="111"/>
      <c r="X24" s="111"/>
      <c r="Y24" s="111"/>
      <c r="Z24" s="111"/>
      <c r="AA24" s="111"/>
      <c r="AB24" s="2"/>
      <c r="AC24" s="70">
        <f>AA23+U23+I23+O23</f>
        <v>416908</v>
      </c>
      <c r="AD24" s="2"/>
    </row>
    <row r="25" spans="2:41" x14ac:dyDescent="0.25">
      <c r="D25" s="114" t="s">
        <v>30</v>
      </c>
      <c r="E25" s="114"/>
      <c r="G25" s="114"/>
      <c r="H25" s="114"/>
      <c r="I25" s="114"/>
      <c r="J25" s="114" t="s">
        <v>30</v>
      </c>
      <c r="K25" s="114"/>
      <c r="M25" s="114"/>
      <c r="N25" s="114"/>
      <c r="O25" s="114"/>
      <c r="P25" s="114"/>
      <c r="Q25" s="114"/>
      <c r="R25" s="114"/>
      <c r="S25" s="114"/>
      <c r="T25" s="114"/>
      <c r="U25" s="114"/>
      <c r="AA25" s="2"/>
      <c r="AB25" s="2"/>
      <c r="AC25" s="2"/>
      <c r="AD25" s="2"/>
    </row>
    <row r="26" spans="2:41" x14ac:dyDescent="0.25">
      <c r="D26" s="114"/>
      <c r="E26" s="114"/>
      <c r="J26" s="114"/>
      <c r="K26" s="114"/>
      <c r="P26" s="1"/>
      <c r="Q26" s="1"/>
      <c r="R26" s="1"/>
      <c r="S26" s="1"/>
      <c r="T26" s="1"/>
      <c r="U26" s="1"/>
      <c r="AA26" s="2"/>
      <c r="AB26" s="2"/>
      <c r="AC26" s="2"/>
      <c r="AD26" s="2"/>
    </row>
    <row r="27" spans="2:41" x14ac:dyDescent="0.25">
      <c r="C27" s="115">
        <v>20000</v>
      </c>
      <c r="D27" s="115"/>
      <c r="E27" s="115"/>
      <c r="F27" s="116"/>
      <c r="G27" s="117"/>
      <c r="H27" s="118"/>
      <c r="I27" s="119"/>
      <c r="J27" s="115"/>
      <c r="K27" s="115"/>
      <c r="L27" s="116"/>
      <c r="M27" s="117"/>
      <c r="N27" s="118"/>
      <c r="O27" s="119"/>
      <c r="P27" s="119"/>
      <c r="Q27" s="119"/>
      <c r="R27" s="119"/>
      <c r="S27" s="119"/>
      <c r="T27" s="119"/>
      <c r="U27" s="119"/>
      <c r="V27" s="119"/>
      <c r="W27" s="119"/>
      <c r="X27" s="120"/>
      <c r="Y27" s="121"/>
      <c r="Z27" s="120"/>
      <c r="AA27" s="119"/>
      <c r="AB27" s="122"/>
      <c r="AC27" s="122"/>
      <c r="AD27" s="2"/>
      <c r="AE27" s="2"/>
      <c r="AF27" s="2"/>
    </row>
    <row r="28" spans="2:41" x14ac:dyDescent="0.25">
      <c r="C28" s="115">
        <v>10000</v>
      </c>
      <c r="D28" s="115"/>
      <c r="E28" s="115"/>
      <c r="F28" s="116"/>
      <c r="G28" s="117"/>
      <c r="H28" s="118"/>
      <c r="I28" s="119"/>
      <c r="J28" s="115"/>
      <c r="K28" s="115"/>
      <c r="L28" s="116"/>
      <c r="M28" s="117"/>
      <c r="N28" s="118"/>
      <c r="O28" s="119"/>
      <c r="P28" s="119"/>
      <c r="Q28" s="119"/>
      <c r="R28" s="119"/>
      <c r="S28" s="119"/>
      <c r="T28" s="119"/>
      <c r="U28" s="119"/>
      <c r="V28" s="119"/>
      <c r="W28" s="119"/>
      <c r="X28" s="120"/>
      <c r="Y28" s="122"/>
      <c r="Z28" s="120"/>
      <c r="AA28" s="119"/>
      <c r="AB28" s="122"/>
      <c r="AC28" s="122"/>
      <c r="AD28" s="2"/>
      <c r="AE28" s="2"/>
      <c r="AF28" s="2"/>
    </row>
    <row r="29" spans="2:41" x14ac:dyDescent="0.25">
      <c r="C29" s="115">
        <v>5000</v>
      </c>
      <c r="D29" s="115"/>
      <c r="E29" s="115"/>
      <c r="F29" s="116"/>
      <c r="G29" s="117"/>
      <c r="H29" s="118"/>
      <c r="I29" s="119"/>
      <c r="J29" s="115"/>
      <c r="K29" s="115"/>
      <c r="L29" s="116"/>
      <c r="M29" s="117"/>
      <c r="N29" s="118"/>
      <c r="O29" s="119"/>
      <c r="P29" s="119"/>
      <c r="Q29" s="119"/>
      <c r="R29" s="119"/>
      <c r="S29" s="119"/>
      <c r="T29" s="119"/>
      <c r="U29" s="119"/>
      <c r="V29" s="119"/>
      <c r="W29" s="119"/>
      <c r="X29" s="120"/>
      <c r="Y29" s="121"/>
      <c r="Z29" s="120"/>
      <c r="AA29" s="119"/>
      <c r="AB29" s="122"/>
      <c r="AC29" s="122"/>
      <c r="AD29" s="2"/>
      <c r="AE29" s="2"/>
      <c r="AF29" s="2"/>
    </row>
    <row r="30" spans="2:41" x14ac:dyDescent="0.25">
      <c r="C30" s="115">
        <v>2000</v>
      </c>
      <c r="D30" s="115"/>
      <c r="E30" s="115"/>
      <c r="F30" s="116"/>
      <c r="G30" s="117"/>
      <c r="H30" s="118"/>
      <c r="I30" s="119"/>
      <c r="J30" s="115"/>
      <c r="K30" s="115"/>
      <c r="L30" s="116"/>
      <c r="M30" s="117"/>
      <c r="N30" s="118"/>
      <c r="O30" s="119"/>
      <c r="P30" s="119"/>
      <c r="Q30" s="119"/>
      <c r="R30" s="119"/>
      <c r="S30" s="119"/>
      <c r="T30" s="119"/>
      <c r="U30" s="119"/>
      <c r="V30" s="119"/>
      <c r="W30" s="119"/>
      <c r="X30" s="120"/>
      <c r="Y30" s="121"/>
      <c r="Z30" s="120"/>
      <c r="AA30" s="119"/>
      <c r="AB30" s="122"/>
      <c r="AC30" s="122"/>
      <c r="AD30" s="123"/>
    </row>
    <row r="31" spans="2:41" x14ac:dyDescent="0.25">
      <c r="C31" s="115">
        <v>1000</v>
      </c>
      <c r="D31" s="115"/>
      <c r="E31" s="115"/>
      <c r="F31" s="116"/>
      <c r="G31" s="117"/>
      <c r="H31" s="118"/>
      <c r="I31" s="124"/>
      <c r="J31" s="115"/>
      <c r="K31" s="115"/>
      <c r="L31" s="116"/>
      <c r="M31" s="117"/>
      <c r="N31" s="118"/>
      <c r="O31" s="124"/>
      <c r="P31" s="124"/>
      <c r="Q31" s="124"/>
      <c r="R31" s="124"/>
      <c r="S31" s="124"/>
      <c r="T31" s="124"/>
      <c r="U31" s="124"/>
      <c r="V31" s="124"/>
      <c r="W31" s="124"/>
      <c r="X31" s="120"/>
      <c r="Y31" s="121"/>
      <c r="Z31" s="120"/>
      <c r="AA31" s="124"/>
      <c r="AB31" s="122"/>
      <c r="AC31" s="122"/>
      <c r="AD31" s="2"/>
    </row>
    <row r="32" spans="2:41" x14ac:dyDescent="0.25">
      <c r="C32" s="115">
        <v>500</v>
      </c>
      <c r="D32" s="115"/>
      <c r="E32" s="115"/>
      <c r="F32" s="116"/>
      <c r="G32" s="117"/>
      <c r="H32" s="118"/>
      <c r="I32" s="119"/>
      <c r="J32" s="115"/>
      <c r="K32" s="115"/>
      <c r="L32" s="116"/>
      <c r="M32" s="117"/>
      <c r="N32" s="118"/>
      <c r="O32" s="119"/>
      <c r="P32" s="119"/>
      <c r="Q32" s="119"/>
      <c r="R32" s="119"/>
      <c r="S32" s="119"/>
      <c r="T32" s="119"/>
      <c r="U32" s="119"/>
      <c r="V32" s="119"/>
      <c r="W32" s="119"/>
      <c r="X32" s="120"/>
      <c r="Y32" s="121"/>
      <c r="Z32" s="120"/>
      <c r="AA32" s="119"/>
      <c r="AB32" s="121"/>
      <c r="AC32" s="121"/>
      <c r="AD32" s="2"/>
    </row>
    <row r="33" spans="2:33" x14ac:dyDescent="0.25">
      <c r="C33" s="115">
        <v>100</v>
      </c>
      <c r="D33" s="115"/>
      <c r="E33" s="115"/>
      <c r="F33" s="116"/>
      <c r="G33" s="117"/>
      <c r="H33" s="118"/>
      <c r="I33" s="119"/>
      <c r="J33" s="115"/>
      <c r="K33" s="115"/>
      <c r="L33" s="116"/>
      <c r="M33" s="117"/>
      <c r="N33" s="118"/>
      <c r="O33" s="119"/>
      <c r="P33" s="119"/>
      <c r="Q33" s="119"/>
      <c r="R33" s="119"/>
      <c r="S33" s="119"/>
      <c r="T33" s="119"/>
      <c r="U33" s="119"/>
      <c r="V33" s="119"/>
      <c r="W33" s="119"/>
      <c r="X33" s="120"/>
      <c r="Y33" s="121"/>
      <c r="Z33" s="120"/>
      <c r="AA33" s="119"/>
      <c r="AB33" s="121"/>
      <c r="AC33" s="121"/>
      <c r="AD33" s="2"/>
    </row>
    <row r="34" spans="2:33" x14ac:dyDescent="0.25">
      <c r="C34" s="115">
        <v>50</v>
      </c>
      <c r="D34" s="115"/>
      <c r="E34" s="115"/>
      <c r="F34" s="116"/>
      <c r="G34" s="117"/>
      <c r="H34" s="118"/>
      <c r="I34" s="119"/>
      <c r="J34" s="115"/>
      <c r="K34" s="115"/>
      <c r="L34" s="116"/>
      <c r="M34" s="117"/>
      <c r="N34" s="118"/>
      <c r="O34" s="119"/>
      <c r="P34" s="119"/>
      <c r="Q34" s="119"/>
      <c r="R34" s="119"/>
      <c r="S34" s="119"/>
      <c r="T34" s="119"/>
      <c r="U34" s="119"/>
      <c r="V34" s="119"/>
      <c r="W34" s="119"/>
      <c r="X34" s="120"/>
      <c r="Y34" s="121"/>
      <c r="Z34" s="120"/>
      <c r="AA34" s="119"/>
      <c r="AB34" s="121"/>
      <c r="AC34" s="121"/>
      <c r="AD34" s="2"/>
    </row>
    <row r="35" spans="2:33" x14ac:dyDescent="0.25">
      <c r="C35" s="115">
        <v>10</v>
      </c>
      <c r="D35" s="115"/>
      <c r="E35" s="115"/>
      <c r="F35" s="116"/>
      <c r="G35" s="117"/>
      <c r="H35" s="118"/>
      <c r="I35" s="119"/>
      <c r="J35" s="115"/>
      <c r="K35" s="115"/>
      <c r="L35" s="116"/>
      <c r="M35" s="117"/>
      <c r="N35" s="118"/>
      <c r="O35" s="119"/>
      <c r="P35" s="119"/>
      <c r="Q35" s="119"/>
      <c r="R35" s="119"/>
      <c r="S35" s="119"/>
      <c r="T35" s="119"/>
      <c r="U35" s="119">
        <v>185620</v>
      </c>
      <c r="V35" s="119"/>
      <c r="W35" s="119"/>
      <c r="X35" s="120"/>
      <c r="Y35" s="121"/>
      <c r="Z35" s="120"/>
      <c r="AA35" s="119">
        <v>73920</v>
      </c>
      <c r="AB35" s="121"/>
      <c r="AC35" s="121"/>
      <c r="AD35" s="2"/>
      <c r="AG35" s="1" t="s">
        <v>25</v>
      </c>
    </row>
    <row r="36" spans="2:33" x14ac:dyDescent="0.25">
      <c r="C36" s="1" t="s">
        <v>32</v>
      </c>
      <c r="E36" s="131"/>
      <c r="G36" s="125"/>
      <c r="H36" s="118"/>
      <c r="I36" s="124"/>
      <c r="K36" s="131"/>
      <c r="M36" s="125"/>
      <c r="N36" s="118"/>
      <c r="O36" s="124"/>
      <c r="P36" s="124"/>
      <c r="Q36" s="124"/>
      <c r="R36" s="124"/>
      <c r="S36" s="124"/>
      <c r="T36" s="124"/>
      <c r="U36" s="124"/>
      <c r="V36" s="124"/>
      <c r="W36" s="124"/>
      <c r="X36" s="120"/>
      <c r="Y36" s="124"/>
      <c r="Z36" s="120"/>
      <c r="AA36" s="124">
        <f>86584+70784</f>
        <v>157368</v>
      </c>
      <c r="AB36" s="124"/>
      <c r="AC36" s="124"/>
      <c r="AD36" s="2"/>
    </row>
    <row r="37" spans="2:33" s="114" customFormat="1" ht="15.75" x14ac:dyDescent="0.25">
      <c r="F37" s="126"/>
      <c r="G37" s="127"/>
      <c r="I37" s="128">
        <f>SUM(I27:I36)</f>
        <v>0</v>
      </c>
      <c r="L37" s="126"/>
      <c r="M37" s="127"/>
      <c r="O37" s="128">
        <f>SUM(O27:O36)</f>
        <v>0</v>
      </c>
      <c r="P37" s="116"/>
      <c r="Q37" s="116"/>
      <c r="R37" s="116"/>
      <c r="S37" s="116"/>
      <c r="T37" s="116"/>
      <c r="U37" s="128">
        <f>SUM(U27:U36)</f>
        <v>185620</v>
      </c>
      <c r="V37" s="116"/>
      <c r="W37" s="116"/>
      <c r="X37" s="123"/>
      <c r="Y37" s="116"/>
      <c r="Z37" s="123"/>
      <c r="AA37" s="128">
        <f>SUM(AA27:AA36)</f>
        <v>231288</v>
      </c>
      <c r="AB37" s="129"/>
      <c r="AC37" s="125">
        <f>+I37+U37+AA37+O37</f>
        <v>416908</v>
      </c>
    </row>
    <row r="38" spans="2:33" x14ac:dyDescent="0.25">
      <c r="B38" s="2"/>
      <c r="C38" s="2"/>
      <c r="D38" s="2"/>
      <c r="E38" s="70"/>
      <c r="F38" s="2"/>
      <c r="G38" s="2"/>
      <c r="H38" s="2"/>
      <c r="I38" s="2"/>
      <c r="J38" s="2"/>
      <c r="K38" s="70"/>
      <c r="L38" s="2"/>
      <c r="M38" s="2"/>
      <c r="N38" s="2"/>
      <c r="O38" s="2"/>
      <c r="X38" s="70"/>
      <c r="AA38" s="2"/>
      <c r="AB38" s="130"/>
      <c r="AC38" s="131">
        <f>AC37-AC24</f>
        <v>0</v>
      </c>
    </row>
    <row r="39" spans="2:33" x14ac:dyDescent="0.25">
      <c r="B39" s="2"/>
      <c r="C39" s="2"/>
      <c r="D39" s="2"/>
      <c r="E39" s="70"/>
      <c r="F39" s="2"/>
      <c r="G39" s="2"/>
      <c r="H39" s="2"/>
      <c r="I39" s="129"/>
      <c r="J39" s="2"/>
      <c r="K39" s="70"/>
      <c r="L39" s="2"/>
      <c r="M39" s="2"/>
      <c r="N39" s="2"/>
      <c r="O39" s="129"/>
      <c r="P39" s="2" t="s">
        <v>38</v>
      </c>
      <c r="U39" s="129"/>
      <c r="X39" s="70"/>
      <c r="AA39" s="2"/>
      <c r="AB39" s="130"/>
      <c r="AC39" s="131"/>
    </row>
    <row r="40" spans="2:33" x14ac:dyDescent="0.25">
      <c r="E40" s="110"/>
      <c r="Q40" s="133"/>
      <c r="Y40" s="1"/>
      <c r="Z40" s="1"/>
    </row>
    <row r="41" spans="2:33" x14ac:dyDescent="0.25">
      <c r="S41" s="129"/>
      <c r="T41" s="129"/>
      <c r="U41" s="129"/>
      <c r="W41" s="130"/>
    </row>
  </sheetData>
  <mergeCells count="11">
    <mergeCell ref="Q3:T3"/>
    <mergeCell ref="C4:D4"/>
    <mergeCell ref="V6:AA6"/>
    <mergeCell ref="AB6:AB7"/>
    <mergeCell ref="AC6:AC7"/>
    <mergeCell ref="AE6:AE7"/>
    <mergeCell ref="B6:B7"/>
    <mergeCell ref="C6:C7"/>
    <mergeCell ref="D6:I6"/>
    <mergeCell ref="J6:O6"/>
    <mergeCell ref="P6:U6"/>
  </mergeCells>
  <pageMargins left="0.39370078740157483" right="0.39370078740157483" top="0.19685039370078741" bottom="0.19685039370078741" header="0" footer="0"/>
  <pageSetup paperSize="9" orientation="landscape" horizontalDpi="0" verticalDpi="0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">
    <pageSetUpPr fitToPage="1"/>
  </sheetPr>
  <dimension ref="A1:AO41"/>
  <sheetViews>
    <sheetView topLeftCell="A22" workbookViewId="0">
      <pane xSplit="3" topLeftCell="T1" activePane="topRight" state="frozen"/>
      <selection activeCell="M17" sqref="M17"/>
      <selection pane="topRight" activeCell="AF17" sqref="AF17"/>
    </sheetView>
  </sheetViews>
  <sheetFormatPr baseColWidth="10" defaultRowHeight="15" x14ac:dyDescent="0.25"/>
  <cols>
    <col min="1" max="1" width="1.7109375" style="1" customWidth="1"/>
    <col min="2" max="2" width="10" style="1" customWidth="1"/>
    <col min="3" max="3" width="29.140625" style="1" customWidth="1"/>
    <col min="4" max="4" width="5.7109375" style="1" hidden="1" customWidth="1"/>
    <col min="5" max="5" width="10.7109375" style="1" hidden="1" customWidth="1"/>
    <col min="6" max="6" width="5.7109375" style="1" hidden="1" customWidth="1"/>
    <col min="7" max="7" width="10.7109375" style="1" hidden="1" customWidth="1"/>
    <col min="8" max="8" width="5.7109375" style="1" hidden="1" customWidth="1"/>
    <col min="9" max="9" width="10.7109375" style="1" hidden="1" customWidth="1"/>
    <col min="10" max="10" width="5.7109375" style="1" hidden="1" customWidth="1"/>
    <col min="11" max="11" width="10.7109375" style="1" hidden="1" customWidth="1"/>
    <col min="12" max="12" width="5.7109375" style="1" hidden="1" customWidth="1"/>
    <col min="13" max="13" width="10.7109375" style="1" hidden="1" customWidth="1"/>
    <col min="14" max="14" width="5.7109375" style="1" hidden="1" customWidth="1"/>
    <col min="15" max="15" width="10.7109375" style="1" hidden="1" customWidth="1"/>
    <col min="16" max="16" width="5.7109375" style="2" customWidth="1"/>
    <col min="17" max="17" width="10.7109375" style="2" customWidth="1"/>
    <col min="18" max="18" width="5.7109375" style="2" customWidth="1"/>
    <col min="19" max="19" width="10.7109375" style="2" customWidth="1"/>
    <col min="20" max="20" width="5.7109375" style="2" customWidth="1"/>
    <col min="21" max="21" width="10.7109375" style="2" customWidth="1"/>
    <col min="22" max="22" width="5.7109375" style="2" customWidth="1"/>
    <col min="23" max="23" width="10.7109375" style="2" customWidth="1"/>
    <col min="24" max="24" width="5.7109375" style="2" customWidth="1"/>
    <col min="25" max="25" width="10.7109375" style="2" customWidth="1"/>
    <col min="26" max="26" width="5.7109375" style="2" customWidth="1"/>
    <col min="27" max="27" width="10.7109375" style="1" customWidth="1"/>
    <col min="28" max="28" width="9.5703125" style="1" customWidth="1"/>
    <col min="29" max="29" width="14.5703125" style="1" bestFit="1" customWidth="1"/>
    <col min="30" max="30" width="3.28515625" style="1" customWidth="1"/>
    <col min="31" max="31" width="11.42578125" style="1"/>
    <col min="32" max="32" width="3.7109375" style="1" customWidth="1"/>
    <col min="33" max="33" width="10.140625" style="1" customWidth="1"/>
    <col min="34" max="34" width="3.7109375" style="1" customWidth="1"/>
    <col min="35" max="35" width="11.42578125" style="1"/>
    <col min="36" max="36" width="3.7109375" style="1" customWidth="1"/>
    <col min="37" max="37" width="5.7109375" style="1" customWidth="1"/>
    <col min="38" max="38" width="3.7109375" style="1" customWidth="1"/>
    <col min="39" max="39" width="5.7109375" style="1" customWidth="1"/>
    <col min="40" max="40" width="3.7109375" style="1" customWidth="1"/>
    <col min="41" max="41" width="5.7109375" style="1" customWidth="1"/>
    <col min="42" max="16384" width="11.42578125" style="1"/>
  </cols>
  <sheetData>
    <row r="1" spans="1:39" ht="5.25" customHeight="1" x14ac:dyDescent="0.25">
      <c r="Y1" s="1"/>
      <c r="Z1" s="1"/>
    </row>
    <row r="2" spans="1:39" ht="21" x14ac:dyDescent="0.35">
      <c r="B2" s="3" t="s">
        <v>0</v>
      </c>
      <c r="P2" s="1"/>
      <c r="Q2" s="4"/>
      <c r="Z2" s="1"/>
    </row>
    <row r="3" spans="1:39" ht="15" customHeight="1" x14ac:dyDescent="0.25">
      <c r="A3" s="5"/>
      <c r="B3" s="6" t="s">
        <v>1</v>
      </c>
      <c r="C3" s="7"/>
      <c r="D3" s="7"/>
      <c r="E3" s="7"/>
      <c r="F3" s="7"/>
      <c r="P3" s="1"/>
      <c r="Q3" s="353"/>
      <c r="R3" s="353"/>
      <c r="S3" s="353"/>
      <c r="T3" s="353"/>
      <c r="U3" s="252"/>
      <c r="V3" s="252"/>
      <c r="Z3" s="1"/>
    </row>
    <row r="4" spans="1:39" ht="18" customHeight="1" x14ac:dyDescent="0.25">
      <c r="B4" s="253" t="s">
        <v>2</v>
      </c>
      <c r="C4" s="354" t="s">
        <v>70</v>
      </c>
      <c r="D4" s="355"/>
      <c r="E4" s="253"/>
      <c r="F4" s="253"/>
      <c r="P4" s="1"/>
      <c r="Q4" s="9"/>
      <c r="R4" s="10"/>
      <c r="S4" s="9"/>
      <c r="T4" s="9"/>
      <c r="U4" s="9"/>
      <c r="V4" s="9"/>
      <c r="Z4" s="1"/>
    </row>
    <row r="5" spans="1:39" ht="15.75" thickBot="1" x14ac:dyDescent="0.3">
      <c r="A5" s="253"/>
      <c r="B5" s="253"/>
      <c r="C5" s="253"/>
      <c r="D5" s="253"/>
      <c r="E5" s="253"/>
      <c r="J5" s="253"/>
      <c r="K5" s="253"/>
      <c r="P5" s="1"/>
      <c r="Q5" s="1"/>
      <c r="R5" s="1"/>
      <c r="S5" s="1"/>
      <c r="T5" s="1"/>
      <c r="U5" s="1"/>
      <c r="V5" s="9"/>
      <c r="W5" s="9"/>
      <c r="X5" s="9"/>
      <c r="Y5" s="9"/>
      <c r="Z5" s="9"/>
      <c r="AA5" s="9"/>
      <c r="AB5" s="2"/>
      <c r="AC5" s="2"/>
      <c r="AD5" s="2"/>
    </row>
    <row r="6" spans="1:39" ht="27.75" customHeight="1" thickBot="1" x14ac:dyDescent="0.3">
      <c r="B6" s="356" t="s">
        <v>3</v>
      </c>
      <c r="C6" s="343" t="s">
        <v>4</v>
      </c>
      <c r="D6" s="358" t="s">
        <v>36</v>
      </c>
      <c r="E6" s="359"/>
      <c r="F6" s="360"/>
      <c r="G6" s="360"/>
      <c r="H6" s="360"/>
      <c r="I6" s="361"/>
      <c r="J6" s="370" t="s">
        <v>41</v>
      </c>
      <c r="K6" s="371"/>
      <c r="L6" s="372"/>
      <c r="M6" s="372"/>
      <c r="N6" s="372"/>
      <c r="O6" s="373"/>
      <c r="P6" s="362" t="s">
        <v>45</v>
      </c>
      <c r="Q6" s="363"/>
      <c r="R6" s="364"/>
      <c r="S6" s="364"/>
      <c r="T6" s="364"/>
      <c r="U6" s="365"/>
      <c r="V6" s="366" t="s">
        <v>31</v>
      </c>
      <c r="W6" s="367"/>
      <c r="X6" s="368"/>
      <c r="Y6" s="368"/>
      <c r="Z6" s="368"/>
      <c r="AA6" s="369"/>
      <c r="AB6" s="349" t="s">
        <v>5</v>
      </c>
      <c r="AC6" s="349" t="s">
        <v>6</v>
      </c>
      <c r="AD6" s="2"/>
      <c r="AE6" s="351" t="s">
        <v>7</v>
      </c>
      <c r="AF6" s="2"/>
    </row>
    <row r="7" spans="1:39" ht="25.5" customHeight="1" thickBot="1" x14ac:dyDescent="0.3">
      <c r="B7" s="357"/>
      <c r="C7" s="344"/>
      <c r="D7" s="11" t="s">
        <v>8</v>
      </c>
      <c r="E7" s="12" t="s">
        <v>9</v>
      </c>
      <c r="F7" s="13" t="s">
        <v>8</v>
      </c>
      <c r="G7" s="14" t="s">
        <v>9</v>
      </c>
      <c r="H7" s="11" t="s">
        <v>5</v>
      </c>
      <c r="I7" s="14" t="s">
        <v>10</v>
      </c>
      <c r="J7" s="190" t="s">
        <v>8</v>
      </c>
      <c r="K7" s="192" t="s">
        <v>9</v>
      </c>
      <c r="L7" s="191" t="s">
        <v>8</v>
      </c>
      <c r="M7" s="192" t="s">
        <v>9</v>
      </c>
      <c r="N7" s="190" t="s">
        <v>5</v>
      </c>
      <c r="O7" s="192" t="s">
        <v>10</v>
      </c>
      <c r="P7" s="15" t="s">
        <v>8</v>
      </c>
      <c r="Q7" s="16" t="s">
        <v>9</v>
      </c>
      <c r="R7" s="17" t="s">
        <v>8</v>
      </c>
      <c r="S7" s="16" t="s">
        <v>9</v>
      </c>
      <c r="T7" s="15" t="s">
        <v>5</v>
      </c>
      <c r="U7" s="16" t="s">
        <v>10</v>
      </c>
      <c r="V7" s="18" t="s">
        <v>8</v>
      </c>
      <c r="W7" s="19" t="s">
        <v>9</v>
      </c>
      <c r="X7" s="20" t="s">
        <v>8</v>
      </c>
      <c r="Y7" s="21" t="s">
        <v>9</v>
      </c>
      <c r="Z7" s="18" t="s">
        <v>5</v>
      </c>
      <c r="AA7" s="21" t="s">
        <v>10</v>
      </c>
      <c r="AB7" s="350"/>
      <c r="AC7" s="350"/>
      <c r="AD7" s="2"/>
      <c r="AE7" s="352"/>
      <c r="AG7" s="22" t="s">
        <v>11</v>
      </c>
      <c r="AI7" s="22" t="s">
        <v>12</v>
      </c>
    </row>
    <row r="8" spans="1:39" x14ac:dyDescent="0.25">
      <c r="B8" s="173">
        <v>6320</v>
      </c>
      <c r="C8" s="23" t="s">
        <v>13</v>
      </c>
      <c r="D8" s="24"/>
      <c r="E8" s="25">
        <f>+D8*B8</f>
        <v>0</v>
      </c>
      <c r="F8" s="26"/>
      <c r="G8" s="27"/>
      <c r="H8" s="28">
        <f>D8+F8</f>
        <v>0</v>
      </c>
      <c r="I8" s="29">
        <f>E8+G8</f>
        <v>0</v>
      </c>
      <c r="J8" s="199"/>
      <c r="K8" s="249">
        <f>+J8*B8</f>
        <v>0</v>
      </c>
      <c r="L8" s="222"/>
      <c r="M8" s="202"/>
      <c r="N8" s="193">
        <f>J8+L8</f>
        <v>0</v>
      </c>
      <c r="O8" s="194">
        <f>K8+M8</f>
        <v>0</v>
      </c>
      <c r="P8" s="30"/>
      <c r="Q8" s="31">
        <f>+P8*B8</f>
        <v>0</v>
      </c>
      <c r="R8" s="32"/>
      <c r="S8" s="33"/>
      <c r="T8" s="34">
        <f>P8+R8</f>
        <v>0</v>
      </c>
      <c r="U8" s="35">
        <f>Q8+S8</f>
        <v>0</v>
      </c>
      <c r="V8" s="36"/>
      <c r="W8" s="37">
        <f t="shared" ref="W8:W19" si="0">+V8*B8</f>
        <v>0</v>
      </c>
      <c r="X8" s="38"/>
      <c r="Y8" s="39"/>
      <c r="Z8" s="40">
        <f>V8+X8</f>
        <v>0</v>
      </c>
      <c r="AA8" s="41">
        <f>Y8+W8</f>
        <v>0</v>
      </c>
      <c r="AB8" s="42">
        <f>+D8+F8+P8+R8+V8+X8+J8+L8</f>
        <v>0</v>
      </c>
      <c r="AC8" s="188">
        <f>+E8+G8+Q8+S8+W8+Y8+K8+M8</f>
        <v>0</v>
      </c>
      <c r="AD8" s="44"/>
      <c r="AE8" s="45"/>
      <c r="AG8" s="187">
        <f>E8+W8+Q8+K8</f>
        <v>0</v>
      </c>
      <c r="AI8" s="45">
        <f>G8+Y8+S8+M8</f>
        <v>0</v>
      </c>
      <c r="AK8" s="139">
        <f>F8+R8+X8+L8</f>
        <v>0</v>
      </c>
      <c r="AM8" s="139">
        <f>+D8+P8+V8+J8</f>
        <v>0</v>
      </c>
    </row>
    <row r="9" spans="1:39" x14ac:dyDescent="0.25">
      <c r="B9" s="174">
        <v>6320</v>
      </c>
      <c r="C9" s="264" t="s">
        <v>14</v>
      </c>
      <c r="D9" s="47"/>
      <c r="E9" s="48">
        <f t="shared" ref="E9:E19" si="1">+D9*B9</f>
        <v>0</v>
      </c>
      <c r="F9" s="49"/>
      <c r="G9" s="50"/>
      <c r="H9" s="51">
        <f>D9+F9</f>
        <v>0</v>
      </c>
      <c r="I9" s="52">
        <f>G9+E9</f>
        <v>0</v>
      </c>
      <c r="J9" s="203"/>
      <c r="K9" s="248">
        <f t="shared" ref="K9:K19" si="2">+J9*B9</f>
        <v>0</v>
      </c>
      <c r="L9" s="223"/>
      <c r="M9" s="206"/>
      <c r="N9" s="195">
        <f>J9+L9</f>
        <v>0</v>
      </c>
      <c r="O9" s="196">
        <f>M9+K9</f>
        <v>0</v>
      </c>
      <c r="P9" s="53"/>
      <c r="Q9" s="31">
        <f t="shared" ref="Q9:Q19" si="3">+P9*B9</f>
        <v>0</v>
      </c>
      <c r="R9" s="55"/>
      <c r="S9" s="56"/>
      <c r="T9" s="57">
        <f>P9+R9</f>
        <v>0</v>
      </c>
      <c r="U9" s="58">
        <f>S9+Q9</f>
        <v>0</v>
      </c>
      <c r="V9" s="59"/>
      <c r="W9" s="60">
        <f t="shared" si="0"/>
        <v>0</v>
      </c>
      <c r="X9" s="61"/>
      <c r="Y9" s="62"/>
      <c r="Z9" s="63">
        <f>V9+X9</f>
        <v>0</v>
      </c>
      <c r="AA9" s="41">
        <f>Y9+W9</f>
        <v>0</v>
      </c>
      <c r="AB9" s="42">
        <f t="shared" ref="AB9:AB22" si="4">+D9+F9+P9+R9+V9+X9+J9+L9</f>
        <v>0</v>
      </c>
      <c r="AC9" s="266">
        <f t="shared" ref="AC9:AC22" si="5">+E9+G9+Q9+S9+W9+Y9+K9+M9</f>
        <v>0</v>
      </c>
      <c r="AD9" s="44"/>
      <c r="AE9" s="64"/>
      <c r="AG9" s="251">
        <f t="shared" ref="AG9:AG22" si="6">E9+W9+Q9+K9</f>
        <v>0</v>
      </c>
      <c r="AI9" s="64">
        <f t="shared" ref="AI9:AI22" si="7">G9+Y9+S9+M9</f>
        <v>0</v>
      </c>
      <c r="AK9" s="142">
        <f t="shared" ref="AK9:AK22" si="8">F9+R9+X9+L9</f>
        <v>0</v>
      </c>
      <c r="AM9" s="142">
        <f t="shared" ref="AM9:AM22" si="9">+D9+P9+V9+J9</f>
        <v>0</v>
      </c>
    </row>
    <row r="10" spans="1:39" x14ac:dyDescent="0.25">
      <c r="B10" s="174">
        <v>6320</v>
      </c>
      <c r="C10" s="46" t="s">
        <v>16</v>
      </c>
      <c r="D10" s="47"/>
      <c r="E10" s="48">
        <f t="shared" si="1"/>
        <v>0</v>
      </c>
      <c r="F10" s="49"/>
      <c r="G10" s="50"/>
      <c r="H10" s="51">
        <f t="shared" ref="H10:H22" si="10">D10+F10</f>
        <v>0</v>
      </c>
      <c r="I10" s="52">
        <f t="shared" ref="I10:I22" si="11">G10+E10</f>
        <v>0</v>
      </c>
      <c r="J10" s="203"/>
      <c r="K10" s="248">
        <f t="shared" si="2"/>
        <v>0</v>
      </c>
      <c r="L10" s="223"/>
      <c r="M10" s="206"/>
      <c r="N10" s="195">
        <f t="shared" ref="N10:N22" si="12">J10+L10</f>
        <v>0</v>
      </c>
      <c r="O10" s="196">
        <f t="shared" ref="O10:O22" si="13">M10+K10</f>
        <v>0</v>
      </c>
      <c r="P10" s="53"/>
      <c r="Q10" s="31">
        <f t="shared" si="3"/>
        <v>0</v>
      </c>
      <c r="R10" s="55"/>
      <c r="S10" s="56"/>
      <c r="T10" s="57">
        <f t="shared" ref="T10:T22" si="14">P10+R10</f>
        <v>0</v>
      </c>
      <c r="U10" s="58">
        <f t="shared" ref="U10:U22" si="15">S10+Q10</f>
        <v>0</v>
      </c>
      <c r="V10" s="59"/>
      <c r="W10" s="60">
        <f t="shared" si="0"/>
        <v>0</v>
      </c>
      <c r="X10" s="61"/>
      <c r="Y10" s="62"/>
      <c r="Z10" s="63">
        <f t="shared" ref="Z10:Z22" si="16">V10+X10</f>
        <v>0</v>
      </c>
      <c r="AA10" s="41">
        <f t="shared" ref="AA10:AA22" si="17">Y10+W10</f>
        <v>0</v>
      </c>
      <c r="AB10" s="42">
        <f t="shared" si="4"/>
        <v>0</v>
      </c>
      <c r="AC10" s="188">
        <f t="shared" si="5"/>
        <v>0</v>
      </c>
      <c r="AD10" s="44"/>
      <c r="AE10" s="64"/>
      <c r="AG10" s="218">
        <f t="shared" si="6"/>
        <v>0</v>
      </c>
      <c r="AI10" s="64">
        <f t="shared" si="7"/>
        <v>0</v>
      </c>
      <c r="AK10" s="142">
        <f t="shared" si="8"/>
        <v>0</v>
      </c>
      <c r="AM10" s="142">
        <f t="shared" si="9"/>
        <v>0</v>
      </c>
    </row>
    <row r="11" spans="1:39" x14ac:dyDescent="0.25">
      <c r="B11" s="174">
        <v>6320</v>
      </c>
      <c r="C11" s="153" t="s">
        <v>17</v>
      </c>
      <c r="D11" s="65"/>
      <c r="E11" s="48">
        <f t="shared" si="1"/>
        <v>0</v>
      </c>
      <c r="F11" s="49"/>
      <c r="G11" s="50"/>
      <c r="H11" s="51">
        <f t="shared" si="10"/>
        <v>0</v>
      </c>
      <c r="I11" s="52">
        <f t="shared" si="11"/>
        <v>0</v>
      </c>
      <c r="J11" s="207"/>
      <c r="K11" s="248">
        <f t="shared" si="2"/>
        <v>0</v>
      </c>
      <c r="L11" s="223"/>
      <c r="M11" s="206"/>
      <c r="N11" s="195">
        <f t="shared" si="12"/>
        <v>0</v>
      </c>
      <c r="O11" s="196">
        <f t="shared" si="13"/>
        <v>0</v>
      </c>
      <c r="P11" s="66">
        <v>1</v>
      </c>
      <c r="Q11" s="31">
        <f t="shared" si="3"/>
        <v>6320</v>
      </c>
      <c r="R11" s="67">
        <v>11</v>
      </c>
      <c r="S11" s="56">
        <f>3715+6320*10</f>
        <v>66915</v>
      </c>
      <c r="T11" s="57">
        <f t="shared" si="14"/>
        <v>12</v>
      </c>
      <c r="U11" s="58">
        <f t="shared" si="15"/>
        <v>73235</v>
      </c>
      <c r="V11" s="68">
        <v>1</v>
      </c>
      <c r="W11" s="60">
        <f t="shared" si="0"/>
        <v>6320</v>
      </c>
      <c r="X11" s="69">
        <v>6</v>
      </c>
      <c r="Y11" s="62">
        <f>6320*6</f>
        <v>37920</v>
      </c>
      <c r="Z11" s="63">
        <f t="shared" si="16"/>
        <v>7</v>
      </c>
      <c r="AA11" s="41">
        <f t="shared" si="17"/>
        <v>44240</v>
      </c>
      <c r="AB11" s="152">
        <f t="shared" si="4"/>
        <v>19</v>
      </c>
      <c r="AC11" s="220">
        <f t="shared" si="5"/>
        <v>117475</v>
      </c>
      <c r="AD11" s="70"/>
      <c r="AE11" s="151">
        <v>2605</v>
      </c>
      <c r="AG11" s="221">
        <f t="shared" si="6"/>
        <v>12640</v>
      </c>
      <c r="AI11" s="151">
        <f t="shared" si="7"/>
        <v>104835</v>
      </c>
      <c r="AK11" s="142">
        <f t="shared" si="8"/>
        <v>17</v>
      </c>
      <c r="AM11" s="142">
        <f t="shared" si="9"/>
        <v>2</v>
      </c>
    </row>
    <row r="12" spans="1:39" x14ac:dyDescent="0.25">
      <c r="B12" s="174">
        <v>6320</v>
      </c>
      <c r="C12" s="46" t="s">
        <v>18</v>
      </c>
      <c r="D12" s="65"/>
      <c r="E12" s="48">
        <f t="shared" si="1"/>
        <v>0</v>
      </c>
      <c r="F12" s="49"/>
      <c r="G12" s="50"/>
      <c r="H12" s="51">
        <f t="shared" si="10"/>
        <v>0</v>
      </c>
      <c r="I12" s="52">
        <f t="shared" si="11"/>
        <v>0</v>
      </c>
      <c r="J12" s="207"/>
      <c r="K12" s="248">
        <f t="shared" si="2"/>
        <v>0</v>
      </c>
      <c r="L12" s="223"/>
      <c r="M12" s="206"/>
      <c r="N12" s="195">
        <f t="shared" si="12"/>
        <v>0</v>
      </c>
      <c r="O12" s="196">
        <f t="shared" si="13"/>
        <v>0</v>
      </c>
      <c r="P12" s="66"/>
      <c r="Q12" s="31">
        <f t="shared" si="3"/>
        <v>0</v>
      </c>
      <c r="R12" s="67"/>
      <c r="S12" s="56"/>
      <c r="T12" s="57">
        <f t="shared" si="14"/>
        <v>0</v>
      </c>
      <c r="U12" s="58">
        <f t="shared" si="15"/>
        <v>0</v>
      </c>
      <c r="V12" s="68"/>
      <c r="W12" s="60">
        <f t="shared" si="0"/>
        <v>0</v>
      </c>
      <c r="X12" s="69"/>
      <c r="Y12" s="62"/>
      <c r="Z12" s="63">
        <f t="shared" si="16"/>
        <v>0</v>
      </c>
      <c r="AA12" s="41">
        <f t="shared" si="17"/>
        <v>0</v>
      </c>
      <c r="AB12" s="42">
        <f t="shared" si="4"/>
        <v>0</v>
      </c>
      <c r="AC12" s="188">
        <f t="shared" si="5"/>
        <v>0</v>
      </c>
      <c r="AD12" s="71"/>
      <c r="AE12" s="64"/>
      <c r="AG12" s="218">
        <f t="shared" si="6"/>
        <v>0</v>
      </c>
      <c r="AI12" s="64">
        <f t="shared" si="7"/>
        <v>0</v>
      </c>
      <c r="AK12" s="142">
        <f t="shared" si="8"/>
        <v>0</v>
      </c>
      <c r="AM12" s="142">
        <f t="shared" si="9"/>
        <v>0</v>
      </c>
    </row>
    <row r="13" spans="1:39" x14ac:dyDescent="0.25">
      <c r="B13" s="174">
        <v>6320</v>
      </c>
      <c r="C13" s="46" t="s">
        <v>19</v>
      </c>
      <c r="D13" s="65"/>
      <c r="E13" s="48">
        <f t="shared" si="1"/>
        <v>0</v>
      </c>
      <c r="F13" s="49"/>
      <c r="G13" s="50"/>
      <c r="H13" s="51">
        <f t="shared" si="10"/>
        <v>0</v>
      </c>
      <c r="I13" s="52">
        <f t="shared" si="11"/>
        <v>0</v>
      </c>
      <c r="J13" s="207"/>
      <c r="K13" s="248">
        <f t="shared" si="2"/>
        <v>0</v>
      </c>
      <c r="L13" s="223"/>
      <c r="M13" s="206"/>
      <c r="N13" s="195">
        <f t="shared" si="12"/>
        <v>0</v>
      </c>
      <c r="O13" s="196">
        <f t="shared" si="13"/>
        <v>0</v>
      </c>
      <c r="P13" s="66"/>
      <c r="Q13" s="31">
        <f t="shared" si="3"/>
        <v>0</v>
      </c>
      <c r="R13" s="67"/>
      <c r="S13" s="56"/>
      <c r="T13" s="57">
        <f t="shared" si="14"/>
        <v>0</v>
      </c>
      <c r="U13" s="58">
        <f t="shared" si="15"/>
        <v>0</v>
      </c>
      <c r="V13" s="68"/>
      <c r="W13" s="60">
        <f t="shared" si="0"/>
        <v>0</v>
      </c>
      <c r="X13" s="69"/>
      <c r="Y13" s="62"/>
      <c r="Z13" s="63">
        <f t="shared" si="16"/>
        <v>0</v>
      </c>
      <c r="AA13" s="41">
        <f t="shared" si="17"/>
        <v>0</v>
      </c>
      <c r="AB13" s="42">
        <f t="shared" si="4"/>
        <v>0</v>
      </c>
      <c r="AC13" s="188">
        <f t="shared" si="5"/>
        <v>0</v>
      </c>
      <c r="AD13" s="70"/>
      <c r="AE13" s="64"/>
      <c r="AG13" s="218">
        <f t="shared" si="6"/>
        <v>0</v>
      </c>
      <c r="AI13" s="64">
        <f t="shared" si="7"/>
        <v>0</v>
      </c>
      <c r="AK13" s="142">
        <f t="shared" si="8"/>
        <v>0</v>
      </c>
      <c r="AM13" s="142">
        <f t="shared" si="9"/>
        <v>0</v>
      </c>
    </row>
    <row r="14" spans="1:39" x14ac:dyDescent="0.25">
      <c r="B14" s="174">
        <v>6320</v>
      </c>
      <c r="C14" s="153" t="s">
        <v>20</v>
      </c>
      <c r="D14" s="65"/>
      <c r="E14" s="48">
        <f t="shared" si="1"/>
        <v>0</v>
      </c>
      <c r="F14" s="49"/>
      <c r="G14" s="50"/>
      <c r="H14" s="51">
        <f t="shared" si="10"/>
        <v>0</v>
      </c>
      <c r="I14" s="52">
        <f t="shared" si="11"/>
        <v>0</v>
      </c>
      <c r="J14" s="207"/>
      <c r="K14" s="248">
        <f t="shared" si="2"/>
        <v>0</v>
      </c>
      <c r="L14" s="223"/>
      <c r="M14" s="206"/>
      <c r="N14" s="195">
        <f t="shared" si="12"/>
        <v>0</v>
      </c>
      <c r="O14" s="196">
        <f t="shared" si="13"/>
        <v>0</v>
      </c>
      <c r="P14" s="66"/>
      <c r="Q14" s="31">
        <f t="shared" si="3"/>
        <v>0</v>
      </c>
      <c r="R14" s="67">
        <v>3</v>
      </c>
      <c r="S14" s="56">
        <f>2844+6320*2</f>
        <v>15484</v>
      </c>
      <c r="T14" s="57">
        <f t="shared" si="14"/>
        <v>3</v>
      </c>
      <c r="U14" s="58">
        <f t="shared" si="15"/>
        <v>15484</v>
      </c>
      <c r="V14" s="68"/>
      <c r="W14" s="60">
        <f t="shared" si="0"/>
        <v>0</v>
      </c>
      <c r="X14" s="69">
        <v>2</v>
      </c>
      <c r="Y14" s="62">
        <f>6320*2</f>
        <v>12640</v>
      </c>
      <c r="Z14" s="63">
        <f t="shared" si="16"/>
        <v>2</v>
      </c>
      <c r="AA14" s="41">
        <f t="shared" si="17"/>
        <v>12640</v>
      </c>
      <c r="AB14" s="152">
        <f t="shared" si="4"/>
        <v>5</v>
      </c>
      <c r="AC14" s="220">
        <f t="shared" si="5"/>
        <v>28124</v>
      </c>
      <c r="AD14" s="70"/>
      <c r="AE14" s="151">
        <v>3476</v>
      </c>
      <c r="AG14" s="218">
        <f t="shared" si="6"/>
        <v>0</v>
      </c>
      <c r="AI14" s="151">
        <f t="shared" si="7"/>
        <v>28124</v>
      </c>
      <c r="AK14" s="142">
        <f t="shared" si="8"/>
        <v>5</v>
      </c>
      <c r="AM14" s="142">
        <f t="shared" si="9"/>
        <v>0</v>
      </c>
    </row>
    <row r="15" spans="1:39" x14ac:dyDescent="0.25">
      <c r="B15" s="174">
        <v>6320</v>
      </c>
      <c r="C15" s="46" t="s">
        <v>21</v>
      </c>
      <c r="D15" s="65"/>
      <c r="E15" s="48">
        <f t="shared" si="1"/>
        <v>0</v>
      </c>
      <c r="F15" s="49"/>
      <c r="G15" s="50"/>
      <c r="H15" s="51">
        <f t="shared" si="10"/>
        <v>0</v>
      </c>
      <c r="I15" s="52">
        <f t="shared" si="11"/>
        <v>0</v>
      </c>
      <c r="J15" s="207"/>
      <c r="K15" s="248">
        <f t="shared" si="2"/>
        <v>0</v>
      </c>
      <c r="L15" s="223"/>
      <c r="M15" s="206"/>
      <c r="N15" s="195">
        <f t="shared" si="12"/>
        <v>0</v>
      </c>
      <c r="O15" s="196">
        <f t="shared" si="13"/>
        <v>0</v>
      </c>
      <c r="P15" s="66"/>
      <c r="Q15" s="31">
        <f t="shared" si="3"/>
        <v>0</v>
      </c>
      <c r="R15" s="67"/>
      <c r="S15" s="56"/>
      <c r="T15" s="57">
        <f t="shared" si="14"/>
        <v>0</v>
      </c>
      <c r="U15" s="58">
        <f t="shared" si="15"/>
        <v>0</v>
      </c>
      <c r="V15" s="68"/>
      <c r="W15" s="60">
        <f t="shared" si="0"/>
        <v>0</v>
      </c>
      <c r="X15" s="69"/>
      <c r="Y15" s="62"/>
      <c r="Z15" s="63">
        <f t="shared" si="16"/>
        <v>0</v>
      </c>
      <c r="AA15" s="41">
        <f t="shared" si="17"/>
        <v>0</v>
      </c>
      <c r="AB15" s="42">
        <f t="shared" si="4"/>
        <v>0</v>
      </c>
      <c r="AC15" s="188">
        <f t="shared" si="5"/>
        <v>0</v>
      </c>
      <c r="AD15" s="70"/>
      <c r="AE15" s="64"/>
      <c r="AG15" s="218">
        <f t="shared" si="6"/>
        <v>0</v>
      </c>
      <c r="AI15" s="64">
        <f t="shared" si="7"/>
        <v>0</v>
      </c>
      <c r="AK15" s="142">
        <f t="shared" si="8"/>
        <v>0</v>
      </c>
      <c r="AM15" s="142">
        <f t="shared" si="9"/>
        <v>0</v>
      </c>
    </row>
    <row r="16" spans="1:39" x14ac:dyDescent="0.25">
      <c r="B16" s="174" t="s">
        <v>26</v>
      </c>
      <c r="C16" s="46" t="s">
        <v>33</v>
      </c>
      <c r="D16" s="65"/>
      <c r="E16" s="48">
        <v>0</v>
      </c>
      <c r="F16" s="49"/>
      <c r="G16" s="50"/>
      <c r="H16" s="51">
        <f t="shared" si="10"/>
        <v>0</v>
      </c>
      <c r="I16" s="52">
        <f t="shared" si="11"/>
        <v>0</v>
      </c>
      <c r="J16" s="207"/>
      <c r="K16" s="248">
        <v>0</v>
      </c>
      <c r="L16" s="223"/>
      <c r="M16" s="206"/>
      <c r="N16" s="195">
        <f t="shared" si="12"/>
        <v>0</v>
      </c>
      <c r="O16" s="196">
        <f t="shared" si="13"/>
        <v>0</v>
      </c>
      <c r="P16" s="66"/>
      <c r="Q16" s="31">
        <v>0</v>
      </c>
      <c r="R16" s="67"/>
      <c r="S16" s="56"/>
      <c r="T16" s="57">
        <f t="shared" si="14"/>
        <v>0</v>
      </c>
      <c r="U16" s="58">
        <v>0</v>
      </c>
      <c r="V16" s="68"/>
      <c r="W16" s="60">
        <v>0</v>
      </c>
      <c r="X16" s="69"/>
      <c r="Y16" s="62"/>
      <c r="Z16" s="63">
        <f>+X16+V16</f>
        <v>0</v>
      </c>
      <c r="AA16" s="41">
        <f>+Y16+W16</f>
        <v>0</v>
      </c>
      <c r="AB16" s="42">
        <f t="shared" si="4"/>
        <v>0</v>
      </c>
      <c r="AC16" s="188">
        <f t="shared" si="5"/>
        <v>0</v>
      </c>
      <c r="AD16" s="70"/>
      <c r="AE16" s="64"/>
      <c r="AG16" s="218">
        <f t="shared" si="6"/>
        <v>0</v>
      </c>
      <c r="AI16" s="64">
        <f t="shared" si="7"/>
        <v>0</v>
      </c>
      <c r="AK16" s="142">
        <f t="shared" si="8"/>
        <v>0</v>
      </c>
      <c r="AM16" s="142">
        <f t="shared" si="9"/>
        <v>0</v>
      </c>
    </row>
    <row r="17" spans="2:41" x14ac:dyDescent="0.25">
      <c r="B17" s="175">
        <v>14010</v>
      </c>
      <c r="C17" s="46" t="s">
        <v>23</v>
      </c>
      <c r="D17" s="65"/>
      <c r="E17" s="48">
        <f t="shared" si="1"/>
        <v>0</v>
      </c>
      <c r="F17" s="49"/>
      <c r="G17" s="50"/>
      <c r="H17" s="51">
        <f t="shared" si="10"/>
        <v>0</v>
      </c>
      <c r="I17" s="52">
        <f t="shared" si="11"/>
        <v>0</v>
      </c>
      <c r="J17" s="207"/>
      <c r="K17" s="248">
        <f t="shared" si="2"/>
        <v>0</v>
      </c>
      <c r="L17" s="223"/>
      <c r="M17" s="206"/>
      <c r="N17" s="195">
        <f t="shared" si="12"/>
        <v>0</v>
      </c>
      <c r="O17" s="196">
        <f t="shared" si="13"/>
        <v>0</v>
      </c>
      <c r="P17" s="66"/>
      <c r="Q17" s="31">
        <f t="shared" si="3"/>
        <v>0</v>
      </c>
      <c r="R17" s="67"/>
      <c r="S17" s="56"/>
      <c r="T17" s="57">
        <f t="shared" si="14"/>
        <v>0</v>
      </c>
      <c r="U17" s="58">
        <f t="shared" si="15"/>
        <v>0</v>
      </c>
      <c r="V17" s="68"/>
      <c r="W17" s="60">
        <f t="shared" si="0"/>
        <v>0</v>
      </c>
      <c r="X17" s="69"/>
      <c r="Y17" s="62"/>
      <c r="Z17" s="63">
        <f t="shared" si="16"/>
        <v>0</v>
      </c>
      <c r="AA17" s="41">
        <f t="shared" si="17"/>
        <v>0</v>
      </c>
      <c r="AB17" s="42">
        <f t="shared" si="4"/>
        <v>0</v>
      </c>
      <c r="AC17" s="188">
        <f t="shared" si="5"/>
        <v>0</v>
      </c>
      <c r="AD17" s="70"/>
      <c r="AE17" s="64"/>
      <c r="AG17" s="218">
        <f t="shared" si="6"/>
        <v>0</v>
      </c>
      <c r="AI17" s="64">
        <f t="shared" si="7"/>
        <v>0</v>
      </c>
      <c r="AK17" s="142">
        <f t="shared" si="8"/>
        <v>0</v>
      </c>
      <c r="AM17" s="142">
        <f t="shared" si="9"/>
        <v>0</v>
      </c>
    </row>
    <row r="18" spans="2:41" x14ac:dyDescent="0.25">
      <c r="B18" s="174">
        <v>11870</v>
      </c>
      <c r="C18" s="46" t="s">
        <v>24</v>
      </c>
      <c r="D18" s="65"/>
      <c r="E18" s="48">
        <f t="shared" si="1"/>
        <v>0</v>
      </c>
      <c r="F18" s="49"/>
      <c r="G18" s="50"/>
      <c r="H18" s="51">
        <f t="shared" si="10"/>
        <v>0</v>
      </c>
      <c r="I18" s="52">
        <f t="shared" si="11"/>
        <v>0</v>
      </c>
      <c r="J18" s="207"/>
      <c r="K18" s="248">
        <f t="shared" si="2"/>
        <v>0</v>
      </c>
      <c r="L18" s="223"/>
      <c r="M18" s="206"/>
      <c r="N18" s="195">
        <f t="shared" si="12"/>
        <v>0</v>
      </c>
      <c r="O18" s="196">
        <f t="shared" si="13"/>
        <v>0</v>
      </c>
      <c r="P18" s="66"/>
      <c r="Q18" s="31">
        <f t="shared" si="3"/>
        <v>0</v>
      </c>
      <c r="R18" s="67"/>
      <c r="S18" s="56"/>
      <c r="T18" s="57">
        <f t="shared" si="14"/>
        <v>0</v>
      </c>
      <c r="U18" s="58">
        <f t="shared" si="15"/>
        <v>0</v>
      </c>
      <c r="V18" s="68"/>
      <c r="W18" s="60">
        <f t="shared" si="0"/>
        <v>0</v>
      </c>
      <c r="X18" s="69"/>
      <c r="Y18" s="62"/>
      <c r="Z18" s="63">
        <f t="shared" si="16"/>
        <v>0</v>
      </c>
      <c r="AA18" s="41">
        <f t="shared" si="17"/>
        <v>0</v>
      </c>
      <c r="AB18" s="42">
        <f t="shared" si="4"/>
        <v>0</v>
      </c>
      <c r="AC18" s="188">
        <f t="shared" si="5"/>
        <v>0</v>
      </c>
      <c r="AD18" s="70"/>
      <c r="AE18" s="64"/>
      <c r="AG18" s="218">
        <f t="shared" si="6"/>
        <v>0</v>
      </c>
      <c r="AI18" s="64">
        <f t="shared" si="7"/>
        <v>0</v>
      </c>
      <c r="AK18" s="142">
        <f t="shared" si="8"/>
        <v>0</v>
      </c>
      <c r="AM18" s="142">
        <f t="shared" si="9"/>
        <v>0</v>
      </c>
    </row>
    <row r="19" spans="2:41" x14ac:dyDescent="0.25">
      <c r="B19" s="174">
        <v>6710</v>
      </c>
      <c r="C19" s="46" t="s">
        <v>0</v>
      </c>
      <c r="D19" s="65"/>
      <c r="E19" s="48">
        <f t="shared" si="1"/>
        <v>0</v>
      </c>
      <c r="F19" s="72"/>
      <c r="G19" s="50"/>
      <c r="H19" s="51">
        <f t="shared" si="10"/>
        <v>0</v>
      </c>
      <c r="I19" s="52">
        <f t="shared" si="11"/>
        <v>0</v>
      </c>
      <c r="J19" s="207"/>
      <c r="K19" s="248">
        <f t="shared" si="2"/>
        <v>0</v>
      </c>
      <c r="L19" s="224"/>
      <c r="M19" s="206"/>
      <c r="N19" s="195">
        <f t="shared" si="12"/>
        <v>0</v>
      </c>
      <c r="O19" s="196">
        <f t="shared" si="13"/>
        <v>0</v>
      </c>
      <c r="P19" s="66"/>
      <c r="Q19" s="31">
        <f t="shared" si="3"/>
        <v>0</v>
      </c>
      <c r="R19" s="73"/>
      <c r="S19" s="56"/>
      <c r="T19" s="57">
        <f t="shared" si="14"/>
        <v>0</v>
      </c>
      <c r="U19" s="58">
        <f t="shared" si="15"/>
        <v>0</v>
      </c>
      <c r="V19" s="68"/>
      <c r="W19" s="60">
        <f t="shared" si="0"/>
        <v>0</v>
      </c>
      <c r="X19" s="74"/>
      <c r="Y19" s="62"/>
      <c r="Z19" s="63">
        <f t="shared" si="16"/>
        <v>0</v>
      </c>
      <c r="AA19" s="41">
        <f t="shared" si="17"/>
        <v>0</v>
      </c>
      <c r="AB19" s="42">
        <f t="shared" si="4"/>
        <v>0</v>
      </c>
      <c r="AC19" s="188">
        <f t="shared" si="5"/>
        <v>0</v>
      </c>
      <c r="AD19" s="70"/>
      <c r="AE19" s="64"/>
      <c r="AF19" s="1" t="s">
        <v>25</v>
      </c>
      <c r="AG19" s="218">
        <f t="shared" si="6"/>
        <v>0</v>
      </c>
      <c r="AI19" s="64">
        <f t="shared" si="7"/>
        <v>0</v>
      </c>
      <c r="AK19" s="142">
        <f t="shared" si="8"/>
        <v>0</v>
      </c>
      <c r="AM19" s="142">
        <f t="shared" si="9"/>
        <v>0</v>
      </c>
    </row>
    <row r="20" spans="2:41" x14ac:dyDescent="0.25">
      <c r="B20" s="174" t="s">
        <v>26</v>
      </c>
      <c r="C20" s="46" t="s">
        <v>0</v>
      </c>
      <c r="D20" s="65"/>
      <c r="E20" s="48">
        <v>0</v>
      </c>
      <c r="F20" s="49"/>
      <c r="G20" s="50"/>
      <c r="H20" s="51">
        <f t="shared" si="10"/>
        <v>0</v>
      </c>
      <c r="I20" s="52">
        <f t="shared" si="11"/>
        <v>0</v>
      </c>
      <c r="J20" s="207"/>
      <c r="K20" s="248">
        <v>0</v>
      </c>
      <c r="L20" s="223"/>
      <c r="M20" s="206"/>
      <c r="N20" s="195">
        <f t="shared" si="12"/>
        <v>0</v>
      </c>
      <c r="O20" s="196">
        <f t="shared" si="13"/>
        <v>0</v>
      </c>
      <c r="P20" s="66"/>
      <c r="Q20" s="31">
        <v>0</v>
      </c>
      <c r="R20" s="67"/>
      <c r="S20" s="56"/>
      <c r="T20" s="57">
        <f t="shared" si="14"/>
        <v>0</v>
      </c>
      <c r="U20" s="58">
        <f t="shared" si="15"/>
        <v>0</v>
      </c>
      <c r="V20" s="68"/>
      <c r="W20" s="60">
        <v>0</v>
      </c>
      <c r="X20" s="69"/>
      <c r="Y20" s="62"/>
      <c r="Z20" s="63">
        <f t="shared" si="16"/>
        <v>0</v>
      </c>
      <c r="AA20" s="41">
        <f t="shared" si="17"/>
        <v>0</v>
      </c>
      <c r="AB20" s="42">
        <f t="shared" si="4"/>
        <v>0</v>
      </c>
      <c r="AC20" s="188">
        <f t="shared" si="5"/>
        <v>0</v>
      </c>
      <c r="AD20" s="70"/>
      <c r="AE20" s="64"/>
      <c r="AG20" s="218">
        <f t="shared" si="6"/>
        <v>0</v>
      </c>
      <c r="AI20" s="64">
        <f t="shared" si="7"/>
        <v>0</v>
      </c>
      <c r="AK20" s="142">
        <f t="shared" si="8"/>
        <v>0</v>
      </c>
      <c r="AM20" s="142">
        <f t="shared" si="9"/>
        <v>0</v>
      </c>
    </row>
    <row r="21" spans="2:41" x14ac:dyDescent="0.25">
      <c r="B21" s="174" t="s">
        <v>26</v>
      </c>
      <c r="C21" s="153" t="s">
        <v>28</v>
      </c>
      <c r="D21" s="65"/>
      <c r="E21" s="75">
        <v>0</v>
      </c>
      <c r="F21" s="49"/>
      <c r="G21" s="50"/>
      <c r="H21" s="51">
        <f t="shared" si="10"/>
        <v>0</v>
      </c>
      <c r="I21" s="52">
        <f t="shared" si="11"/>
        <v>0</v>
      </c>
      <c r="J21" s="207"/>
      <c r="K21" s="248">
        <v>0</v>
      </c>
      <c r="L21" s="223"/>
      <c r="M21" s="206"/>
      <c r="N21" s="195">
        <f t="shared" si="12"/>
        <v>0</v>
      </c>
      <c r="O21" s="196">
        <f t="shared" si="13"/>
        <v>0</v>
      </c>
      <c r="P21" s="66"/>
      <c r="Q21" s="31">
        <v>0</v>
      </c>
      <c r="R21" s="67">
        <v>1</v>
      </c>
      <c r="S21" s="56">
        <v>38450</v>
      </c>
      <c r="T21" s="57">
        <f t="shared" si="14"/>
        <v>1</v>
      </c>
      <c r="U21" s="58">
        <f t="shared" si="15"/>
        <v>38450</v>
      </c>
      <c r="V21" s="68"/>
      <c r="W21" s="60">
        <v>0</v>
      </c>
      <c r="X21" s="69">
        <v>5</v>
      </c>
      <c r="Y21" s="62">
        <f>55610+17160*2+24700*2</f>
        <v>139330</v>
      </c>
      <c r="Z21" s="63">
        <f t="shared" si="16"/>
        <v>5</v>
      </c>
      <c r="AA21" s="41">
        <f t="shared" si="17"/>
        <v>139330</v>
      </c>
      <c r="AB21" s="152">
        <f t="shared" si="4"/>
        <v>6</v>
      </c>
      <c r="AC21" s="220">
        <f t="shared" si="5"/>
        <v>177780</v>
      </c>
      <c r="AD21" s="70"/>
      <c r="AE21" s="64"/>
      <c r="AG21" s="218">
        <f t="shared" si="6"/>
        <v>0</v>
      </c>
      <c r="AI21" s="151">
        <f t="shared" si="7"/>
        <v>177780</v>
      </c>
      <c r="AK21" s="142">
        <f t="shared" si="8"/>
        <v>6</v>
      </c>
      <c r="AM21" s="142">
        <f t="shared" si="9"/>
        <v>0</v>
      </c>
    </row>
    <row r="22" spans="2:41" ht="15.75" thickBot="1" x14ac:dyDescent="0.3">
      <c r="B22" s="176" t="s">
        <v>26</v>
      </c>
      <c r="C22" s="76" t="s">
        <v>29</v>
      </c>
      <c r="D22" s="77"/>
      <c r="E22" s="78">
        <v>0</v>
      </c>
      <c r="F22" s="79"/>
      <c r="G22" s="80"/>
      <c r="H22" s="81">
        <f t="shared" si="10"/>
        <v>0</v>
      </c>
      <c r="I22" s="82">
        <f t="shared" si="11"/>
        <v>0</v>
      </c>
      <c r="J22" s="210"/>
      <c r="K22" s="250">
        <v>0</v>
      </c>
      <c r="L22" s="225"/>
      <c r="M22" s="213"/>
      <c r="N22" s="197">
        <f t="shared" si="12"/>
        <v>0</v>
      </c>
      <c r="O22" s="198">
        <f t="shared" si="13"/>
        <v>0</v>
      </c>
      <c r="P22" s="83"/>
      <c r="Q22" s="84">
        <v>0</v>
      </c>
      <c r="R22" s="85"/>
      <c r="S22" s="86"/>
      <c r="T22" s="87">
        <f t="shared" si="14"/>
        <v>0</v>
      </c>
      <c r="U22" s="88">
        <f t="shared" si="15"/>
        <v>0</v>
      </c>
      <c r="V22" s="89"/>
      <c r="W22" s="60">
        <v>0</v>
      </c>
      <c r="X22" s="90"/>
      <c r="Y22" s="91"/>
      <c r="Z22" s="92">
        <f t="shared" si="16"/>
        <v>0</v>
      </c>
      <c r="AA22" s="93">
        <f t="shared" si="17"/>
        <v>0</v>
      </c>
      <c r="AB22" s="42">
        <f t="shared" si="4"/>
        <v>0</v>
      </c>
      <c r="AC22" s="188">
        <f t="shared" si="5"/>
        <v>0</v>
      </c>
      <c r="AD22" s="70"/>
      <c r="AE22" s="94"/>
      <c r="AG22" s="219">
        <f t="shared" si="6"/>
        <v>0</v>
      </c>
      <c r="AI22" s="94">
        <f t="shared" si="7"/>
        <v>0</v>
      </c>
      <c r="AK22" s="144">
        <f t="shared" si="8"/>
        <v>0</v>
      </c>
      <c r="AM22" s="144">
        <f t="shared" si="9"/>
        <v>0</v>
      </c>
    </row>
    <row r="23" spans="2:41" ht="15.75" thickBot="1" x14ac:dyDescent="0.3">
      <c r="D23" s="95">
        <f t="shared" ref="D23:I23" si="18">SUM(D8:D22)</f>
        <v>0</v>
      </c>
      <c r="E23" s="96">
        <f t="shared" si="18"/>
        <v>0</v>
      </c>
      <c r="F23" s="95">
        <f t="shared" si="18"/>
        <v>0</v>
      </c>
      <c r="G23" s="97">
        <f t="shared" si="18"/>
        <v>0</v>
      </c>
      <c r="H23" s="98">
        <f t="shared" si="18"/>
        <v>0</v>
      </c>
      <c r="I23" s="99">
        <f t="shared" si="18"/>
        <v>0</v>
      </c>
      <c r="J23" s="214">
        <f t="shared" ref="J23:O23" si="19">SUM(J8:J22)</f>
        <v>0</v>
      </c>
      <c r="K23" s="226">
        <f t="shared" si="19"/>
        <v>0</v>
      </c>
      <c r="L23" s="214">
        <f t="shared" si="19"/>
        <v>0</v>
      </c>
      <c r="M23" s="216">
        <f t="shared" si="19"/>
        <v>0</v>
      </c>
      <c r="N23" s="217">
        <f t="shared" si="19"/>
        <v>0</v>
      </c>
      <c r="O23" s="99">
        <f t="shared" si="19"/>
        <v>0</v>
      </c>
      <c r="P23" s="100">
        <f t="shared" ref="P23:AA23" si="20">SUM(P8:P22)</f>
        <v>1</v>
      </c>
      <c r="Q23" s="101">
        <f t="shared" si="20"/>
        <v>6320</v>
      </c>
      <c r="R23" s="100">
        <f t="shared" si="20"/>
        <v>15</v>
      </c>
      <c r="S23" s="102">
        <f t="shared" si="20"/>
        <v>120849</v>
      </c>
      <c r="T23" s="103">
        <f t="shared" si="20"/>
        <v>16</v>
      </c>
      <c r="U23" s="104">
        <f t="shared" si="20"/>
        <v>127169</v>
      </c>
      <c r="V23" s="105">
        <f t="shared" si="20"/>
        <v>1</v>
      </c>
      <c r="W23" s="106">
        <f t="shared" si="20"/>
        <v>6320</v>
      </c>
      <c r="X23" s="105">
        <f t="shared" si="20"/>
        <v>13</v>
      </c>
      <c r="Y23" s="107">
        <f t="shared" si="20"/>
        <v>189890</v>
      </c>
      <c r="Z23" s="108">
        <f t="shared" si="20"/>
        <v>14</v>
      </c>
      <c r="AA23" s="104">
        <f t="shared" si="20"/>
        <v>196210</v>
      </c>
      <c r="AB23" s="109" t="s">
        <v>9</v>
      </c>
      <c r="AC23" s="43">
        <f>SUM(AC8:AC22)</f>
        <v>323379</v>
      </c>
      <c r="AD23" s="70"/>
      <c r="AE23" s="1">
        <f>SUM(AE8:AE22)</f>
        <v>6081</v>
      </c>
      <c r="AI23" s="110"/>
      <c r="AK23" s="1">
        <f>SUM(AK8:AK22)</f>
        <v>28</v>
      </c>
      <c r="AM23" s="1">
        <f>SUM(AM8:AM22)</f>
        <v>2</v>
      </c>
      <c r="AO23" s="1">
        <f>+AK23+AM23</f>
        <v>30</v>
      </c>
    </row>
    <row r="24" spans="2:41" x14ac:dyDescent="0.25">
      <c r="G24" s="111"/>
      <c r="H24" s="111"/>
      <c r="I24" s="111"/>
      <c r="M24" s="111"/>
      <c r="N24" s="111"/>
      <c r="O24" s="111"/>
      <c r="P24" s="111"/>
      <c r="Q24" s="111"/>
      <c r="R24" s="112">
        <f>X23+F23+R23+L23</f>
        <v>28</v>
      </c>
      <c r="S24" s="113">
        <f>G23+Y23+S23+M23</f>
        <v>310739</v>
      </c>
      <c r="T24" s="111"/>
      <c r="U24" s="111"/>
      <c r="V24" s="111"/>
      <c r="W24" s="111"/>
      <c r="X24" s="111"/>
      <c r="Y24" s="111"/>
      <c r="Z24" s="111"/>
      <c r="AA24" s="111"/>
      <c r="AB24" s="2"/>
      <c r="AC24" s="70">
        <f>AA23+U23+I23+O23</f>
        <v>323379</v>
      </c>
      <c r="AD24" s="2"/>
    </row>
    <row r="25" spans="2:41" x14ac:dyDescent="0.25">
      <c r="D25" s="114" t="s">
        <v>30</v>
      </c>
      <c r="E25" s="114"/>
      <c r="G25" s="114"/>
      <c r="H25" s="114"/>
      <c r="I25" s="114"/>
      <c r="J25" s="114" t="s">
        <v>30</v>
      </c>
      <c r="K25" s="114"/>
      <c r="M25" s="114"/>
      <c r="N25" s="114"/>
      <c r="O25" s="114"/>
      <c r="P25" s="114"/>
      <c r="Q25" s="114"/>
      <c r="R25" s="114"/>
      <c r="S25" s="114"/>
      <c r="T25" s="114"/>
      <c r="U25" s="114"/>
      <c r="AA25" s="2"/>
      <c r="AB25" s="2"/>
      <c r="AC25" s="2"/>
      <c r="AD25" s="2"/>
    </row>
    <row r="26" spans="2:41" x14ac:dyDescent="0.25">
      <c r="D26" s="114"/>
      <c r="E26" s="114"/>
      <c r="J26" s="114"/>
      <c r="K26" s="114"/>
      <c r="P26" s="1"/>
      <c r="Q26" s="1"/>
      <c r="R26" s="1"/>
      <c r="S26" s="1"/>
      <c r="T26" s="1"/>
      <c r="U26" s="1"/>
      <c r="AA26" s="2"/>
      <c r="AB26" s="2"/>
      <c r="AC26" s="2"/>
      <c r="AD26" s="2"/>
    </row>
    <row r="27" spans="2:41" x14ac:dyDescent="0.25">
      <c r="C27" s="115">
        <v>20000</v>
      </c>
      <c r="D27" s="115"/>
      <c r="E27" s="115"/>
      <c r="F27" s="116"/>
      <c r="G27" s="117"/>
      <c r="H27" s="118"/>
      <c r="I27" s="119"/>
      <c r="J27" s="115"/>
      <c r="K27" s="115"/>
      <c r="L27" s="116"/>
      <c r="M27" s="117"/>
      <c r="N27" s="118"/>
      <c r="O27" s="119"/>
      <c r="P27" s="119"/>
      <c r="Q27" s="119"/>
      <c r="R27" s="119"/>
      <c r="S27" s="119"/>
      <c r="T27" s="119"/>
      <c r="U27" s="119"/>
      <c r="V27" s="119"/>
      <c r="W27" s="119"/>
      <c r="X27" s="120"/>
      <c r="Y27" s="121"/>
      <c r="Z27" s="120"/>
      <c r="AA27" s="119"/>
      <c r="AB27" s="122"/>
      <c r="AC27" s="122"/>
      <c r="AD27" s="2"/>
      <c r="AE27" s="2"/>
      <c r="AF27" s="2"/>
    </row>
    <row r="28" spans="2:41" x14ac:dyDescent="0.25">
      <c r="C28" s="115">
        <v>10000</v>
      </c>
      <c r="D28" s="115"/>
      <c r="E28" s="115"/>
      <c r="F28" s="116"/>
      <c r="G28" s="117"/>
      <c r="H28" s="118"/>
      <c r="I28" s="119"/>
      <c r="J28" s="115"/>
      <c r="K28" s="115"/>
      <c r="L28" s="116"/>
      <c r="M28" s="117"/>
      <c r="N28" s="118"/>
      <c r="O28" s="119"/>
      <c r="P28" s="119"/>
      <c r="Q28" s="119"/>
      <c r="R28" s="119"/>
      <c r="S28" s="119"/>
      <c r="T28" s="119"/>
      <c r="U28" s="119"/>
      <c r="V28" s="119"/>
      <c r="W28" s="119"/>
      <c r="X28" s="120"/>
      <c r="Y28" s="122"/>
      <c r="Z28" s="120"/>
      <c r="AA28" s="119"/>
      <c r="AB28" s="122"/>
      <c r="AC28" s="122"/>
      <c r="AD28" s="2"/>
      <c r="AE28" s="2"/>
      <c r="AF28" s="2"/>
    </row>
    <row r="29" spans="2:41" x14ac:dyDescent="0.25">
      <c r="C29" s="115">
        <v>5000</v>
      </c>
      <c r="D29" s="115"/>
      <c r="E29" s="115"/>
      <c r="F29" s="116"/>
      <c r="G29" s="117"/>
      <c r="H29" s="118"/>
      <c r="I29" s="119"/>
      <c r="J29" s="115"/>
      <c r="K29" s="115"/>
      <c r="L29" s="116"/>
      <c r="M29" s="117"/>
      <c r="N29" s="118"/>
      <c r="O29" s="119"/>
      <c r="P29" s="119"/>
      <c r="Q29" s="119"/>
      <c r="R29" s="119"/>
      <c r="S29" s="119"/>
      <c r="T29" s="119"/>
      <c r="U29" s="119"/>
      <c r="V29" s="119"/>
      <c r="W29" s="119"/>
      <c r="X29" s="120"/>
      <c r="Y29" s="121"/>
      <c r="Z29" s="120"/>
      <c r="AA29" s="119"/>
      <c r="AB29" s="122"/>
      <c r="AC29" s="122"/>
      <c r="AD29" s="2"/>
      <c r="AE29" s="2"/>
      <c r="AF29" s="2"/>
    </row>
    <row r="30" spans="2:41" x14ac:dyDescent="0.25">
      <c r="C30" s="115">
        <v>2000</v>
      </c>
      <c r="D30" s="115"/>
      <c r="E30" s="115"/>
      <c r="F30" s="116"/>
      <c r="G30" s="117"/>
      <c r="H30" s="118"/>
      <c r="I30" s="119"/>
      <c r="J30" s="115"/>
      <c r="K30" s="115"/>
      <c r="L30" s="116"/>
      <c r="M30" s="117"/>
      <c r="N30" s="118"/>
      <c r="O30" s="119"/>
      <c r="P30" s="119"/>
      <c r="Q30" s="119"/>
      <c r="R30" s="119"/>
      <c r="S30" s="119"/>
      <c r="T30" s="119"/>
      <c r="U30" s="119"/>
      <c r="V30" s="119"/>
      <c r="W30" s="119"/>
      <c r="X30" s="120"/>
      <c r="Y30" s="121"/>
      <c r="Z30" s="120"/>
      <c r="AA30" s="119"/>
      <c r="AB30" s="122"/>
      <c r="AC30" s="122"/>
      <c r="AD30" s="123"/>
    </row>
    <row r="31" spans="2:41" x14ac:dyDescent="0.25">
      <c r="C31" s="115">
        <v>1000</v>
      </c>
      <c r="D31" s="115"/>
      <c r="E31" s="115"/>
      <c r="F31" s="116"/>
      <c r="G31" s="117"/>
      <c r="H31" s="118"/>
      <c r="I31" s="124"/>
      <c r="J31" s="115"/>
      <c r="K31" s="115"/>
      <c r="L31" s="116"/>
      <c r="M31" s="117"/>
      <c r="N31" s="118"/>
      <c r="O31" s="124"/>
      <c r="P31" s="124"/>
      <c r="Q31" s="124"/>
      <c r="R31" s="124"/>
      <c r="S31" s="124"/>
      <c r="T31" s="124"/>
      <c r="U31" s="124"/>
      <c r="V31" s="124"/>
      <c r="W31" s="124"/>
      <c r="X31" s="120"/>
      <c r="Y31" s="121"/>
      <c r="Z31" s="120"/>
      <c r="AA31" s="124"/>
      <c r="AB31" s="122"/>
      <c r="AC31" s="122"/>
      <c r="AD31" s="2"/>
    </row>
    <row r="32" spans="2:41" x14ac:dyDescent="0.25">
      <c r="C32" s="115">
        <v>500</v>
      </c>
      <c r="D32" s="115"/>
      <c r="E32" s="115"/>
      <c r="F32" s="116"/>
      <c r="G32" s="117"/>
      <c r="H32" s="118"/>
      <c r="I32" s="119"/>
      <c r="J32" s="115"/>
      <c r="K32" s="115"/>
      <c r="L32" s="116"/>
      <c r="M32" s="117"/>
      <c r="N32" s="118"/>
      <c r="O32" s="119"/>
      <c r="P32" s="119"/>
      <c r="Q32" s="119"/>
      <c r="R32" s="119"/>
      <c r="S32" s="119"/>
      <c r="T32" s="119"/>
      <c r="U32" s="119"/>
      <c r="V32" s="119"/>
      <c r="W32" s="119"/>
      <c r="X32" s="120"/>
      <c r="Y32" s="121"/>
      <c r="Z32" s="120"/>
      <c r="AA32" s="119"/>
      <c r="AB32" s="121"/>
      <c r="AC32" s="121"/>
      <c r="AD32" s="2"/>
    </row>
    <row r="33" spans="2:33" x14ac:dyDescent="0.25">
      <c r="C33" s="115">
        <v>100</v>
      </c>
      <c r="D33" s="115"/>
      <c r="E33" s="115"/>
      <c r="F33" s="116"/>
      <c r="G33" s="117"/>
      <c r="H33" s="118"/>
      <c r="I33" s="119"/>
      <c r="J33" s="115"/>
      <c r="K33" s="115"/>
      <c r="L33" s="116"/>
      <c r="M33" s="117"/>
      <c r="N33" s="118"/>
      <c r="O33" s="119"/>
      <c r="P33" s="119"/>
      <c r="Q33" s="119"/>
      <c r="R33" s="119"/>
      <c r="S33" s="119"/>
      <c r="T33" s="119"/>
      <c r="U33" s="119"/>
      <c r="V33" s="119"/>
      <c r="W33" s="119"/>
      <c r="X33" s="120"/>
      <c r="Y33" s="121"/>
      <c r="Z33" s="120"/>
      <c r="AA33" s="119"/>
      <c r="AB33" s="121"/>
      <c r="AC33" s="121"/>
      <c r="AD33" s="2"/>
    </row>
    <row r="34" spans="2:33" x14ac:dyDescent="0.25">
      <c r="C34" s="115">
        <v>50</v>
      </c>
      <c r="D34" s="115"/>
      <c r="E34" s="115"/>
      <c r="F34" s="116"/>
      <c r="G34" s="117"/>
      <c r="H34" s="118"/>
      <c r="I34" s="119"/>
      <c r="J34" s="115"/>
      <c r="K34" s="115"/>
      <c r="L34" s="116"/>
      <c r="M34" s="117"/>
      <c r="N34" s="118"/>
      <c r="O34" s="119"/>
      <c r="P34" s="119"/>
      <c r="Q34" s="119"/>
      <c r="R34" s="119"/>
      <c r="S34" s="119"/>
      <c r="T34" s="119"/>
      <c r="U34" s="119"/>
      <c r="V34" s="119"/>
      <c r="W34" s="119"/>
      <c r="X34" s="120"/>
      <c r="Y34" s="121"/>
      <c r="Z34" s="120"/>
      <c r="AA34" s="119"/>
      <c r="AB34" s="121"/>
      <c r="AC34" s="121"/>
      <c r="AD34" s="2"/>
    </row>
    <row r="35" spans="2:33" x14ac:dyDescent="0.25">
      <c r="C35" s="115">
        <v>10</v>
      </c>
      <c r="D35" s="115"/>
      <c r="E35" s="115"/>
      <c r="F35" s="116"/>
      <c r="G35" s="117"/>
      <c r="H35" s="118"/>
      <c r="I35" s="119"/>
      <c r="J35" s="115"/>
      <c r="K35" s="115"/>
      <c r="L35" s="116"/>
      <c r="M35" s="117"/>
      <c r="N35" s="118"/>
      <c r="O35" s="119"/>
      <c r="P35" s="119"/>
      <c r="Q35" s="119"/>
      <c r="R35" s="119"/>
      <c r="S35" s="119"/>
      <c r="T35" s="119"/>
      <c r="U35" s="119">
        <v>127169</v>
      </c>
      <c r="V35" s="119"/>
      <c r="W35" s="119"/>
      <c r="X35" s="120"/>
      <c r="Y35" s="121"/>
      <c r="Z35" s="120"/>
      <c r="AA35" s="119">
        <v>196210</v>
      </c>
      <c r="AB35" s="121"/>
      <c r="AC35" s="121"/>
      <c r="AD35" s="2"/>
      <c r="AG35" s="1" t="s">
        <v>25</v>
      </c>
    </row>
    <row r="36" spans="2:33" x14ac:dyDescent="0.25">
      <c r="C36" s="1" t="s">
        <v>32</v>
      </c>
      <c r="E36" s="131"/>
      <c r="G36" s="125"/>
      <c r="H36" s="118"/>
      <c r="I36" s="124"/>
      <c r="K36" s="131"/>
      <c r="M36" s="125"/>
      <c r="N36" s="118"/>
      <c r="O36" s="124"/>
      <c r="P36" s="124"/>
      <c r="Q36" s="124"/>
      <c r="R36" s="124"/>
      <c r="S36" s="124"/>
      <c r="T36" s="124"/>
      <c r="U36" s="124"/>
      <c r="V36" s="124"/>
      <c r="W36" s="124"/>
      <c r="X36" s="120"/>
      <c r="Y36" s="124"/>
      <c r="Z36" s="120"/>
      <c r="AA36" s="124"/>
      <c r="AB36" s="124"/>
      <c r="AC36" s="124"/>
      <c r="AD36" s="2"/>
    </row>
    <row r="37" spans="2:33" s="114" customFormat="1" ht="15.75" x14ac:dyDescent="0.25">
      <c r="F37" s="126"/>
      <c r="G37" s="127"/>
      <c r="I37" s="128">
        <f>SUM(I27:I36)</f>
        <v>0</v>
      </c>
      <c r="L37" s="126"/>
      <c r="M37" s="127"/>
      <c r="O37" s="128">
        <f>SUM(O27:O36)</f>
        <v>0</v>
      </c>
      <c r="P37" s="116"/>
      <c r="Q37" s="116"/>
      <c r="R37" s="116"/>
      <c r="S37" s="116"/>
      <c r="T37" s="116"/>
      <c r="U37" s="128">
        <f>SUM(U27:U36)</f>
        <v>127169</v>
      </c>
      <c r="V37" s="116"/>
      <c r="W37" s="116"/>
      <c r="X37" s="123"/>
      <c r="Y37" s="116"/>
      <c r="Z37" s="123"/>
      <c r="AA37" s="128">
        <f>SUM(AA27:AA36)</f>
        <v>196210</v>
      </c>
      <c r="AB37" s="129"/>
      <c r="AC37" s="125">
        <f>+I37+U37+AA37+O37</f>
        <v>323379</v>
      </c>
    </row>
    <row r="38" spans="2:33" x14ac:dyDescent="0.25">
      <c r="B38" s="2"/>
      <c r="C38" s="2"/>
      <c r="D38" s="2"/>
      <c r="E38" s="70"/>
      <c r="F38" s="2"/>
      <c r="G38" s="2"/>
      <c r="H38" s="2"/>
      <c r="I38" s="2"/>
      <c r="J38" s="2"/>
      <c r="K38" s="70"/>
      <c r="L38" s="2"/>
      <c r="M38" s="2"/>
      <c r="N38" s="2"/>
      <c r="O38" s="2"/>
      <c r="X38" s="70"/>
      <c r="AA38" s="2"/>
      <c r="AB38" s="130"/>
      <c r="AC38" s="131">
        <f>AC37-AC24</f>
        <v>0</v>
      </c>
    </row>
    <row r="39" spans="2:33" x14ac:dyDescent="0.25">
      <c r="B39" s="2"/>
      <c r="C39" s="2"/>
      <c r="D39" s="2"/>
      <c r="E39" s="70"/>
      <c r="F39" s="2"/>
      <c r="G39" s="2"/>
      <c r="H39" s="2"/>
      <c r="I39" s="129"/>
      <c r="J39" s="2"/>
      <c r="K39" s="70"/>
      <c r="L39" s="2"/>
      <c r="M39" s="2"/>
      <c r="N39" s="2"/>
      <c r="O39" s="129"/>
      <c r="P39" s="2" t="s">
        <v>38</v>
      </c>
      <c r="U39" s="129"/>
      <c r="X39" s="70"/>
      <c r="AA39" s="2"/>
      <c r="AB39" s="130"/>
      <c r="AC39" s="131"/>
    </row>
    <row r="40" spans="2:33" x14ac:dyDescent="0.25">
      <c r="E40" s="110"/>
      <c r="Q40" s="133"/>
      <c r="Y40" s="1"/>
      <c r="Z40" s="1"/>
    </row>
    <row r="41" spans="2:33" x14ac:dyDescent="0.25">
      <c r="S41" s="129"/>
      <c r="T41" s="129"/>
      <c r="U41" s="129"/>
      <c r="W41" s="130"/>
    </row>
  </sheetData>
  <mergeCells count="11">
    <mergeCell ref="Q3:T3"/>
    <mergeCell ref="C4:D4"/>
    <mergeCell ref="V6:AA6"/>
    <mergeCell ref="AB6:AB7"/>
    <mergeCell ref="AC6:AC7"/>
    <mergeCell ref="AE6:AE7"/>
    <mergeCell ref="B6:B7"/>
    <mergeCell ref="C6:C7"/>
    <mergeCell ref="D6:I6"/>
    <mergeCell ref="J6:O6"/>
    <mergeCell ref="P6:U6"/>
  </mergeCells>
  <pageMargins left="0.39370078740157483" right="0.39370078740157483" top="0.19685039370078741" bottom="0.19685039370078741" header="0" footer="0"/>
  <pageSetup paperSize="9" orientation="landscape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4">
    <pageSetUpPr fitToPage="1"/>
  </sheetPr>
  <dimension ref="A1:AO41"/>
  <sheetViews>
    <sheetView topLeftCell="A19" workbookViewId="0">
      <pane xSplit="3" topLeftCell="W1" activePane="topRight" state="frozen"/>
      <selection activeCell="M17" sqref="M17"/>
      <selection pane="topRight" activeCell="AF16" sqref="AF16"/>
    </sheetView>
  </sheetViews>
  <sheetFormatPr baseColWidth="10" defaultRowHeight="15" x14ac:dyDescent="0.25"/>
  <cols>
    <col min="1" max="1" width="1.7109375" style="1" customWidth="1"/>
    <col min="2" max="2" width="10" style="1" customWidth="1"/>
    <col min="3" max="3" width="29.140625" style="1" customWidth="1"/>
    <col min="4" max="4" width="5.7109375" style="1" hidden="1" customWidth="1"/>
    <col min="5" max="5" width="10.7109375" style="1" hidden="1" customWidth="1"/>
    <col min="6" max="6" width="5.7109375" style="1" hidden="1" customWidth="1"/>
    <col min="7" max="7" width="10.7109375" style="1" hidden="1" customWidth="1"/>
    <col min="8" max="8" width="5.7109375" style="1" hidden="1" customWidth="1"/>
    <col min="9" max="9" width="10.7109375" style="1" hidden="1" customWidth="1"/>
    <col min="10" max="10" width="5.7109375" style="1" hidden="1" customWidth="1"/>
    <col min="11" max="11" width="10.7109375" style="1" hidden="1" customWidth="1"/>
    <col min="12" max="12" width="5.7109375" style="1" hidden="1" customWidth="1"/>
    <col min="13" max="13" width="10.7109375" style="1" hidden="1" customWidth="1"/>
    <col min="14" max="14" width="5.7109375" style="1" hidden="1" customWidth="1"/>
    <col min="15" max="15" width="10.7109375" style="1" hidden="1" customWidth="1"/>
    <col min="16" max="16" width="5.7109375" style="2" customWidth="1"/>
    <col min="17" max="17" width="10.7109375" style="2" customWidth="1"/>
    <col min="18" max="18" width="5.7109375" style="2" customWidth="1"/>
    <col min="19" max="19" width="10.7109375" style="2" customWidth="1"/>
    <col min="20" max="20" width="5.7109375" style="2" customWidth="1"/>
    <col min="21" max="21" width="10.7109375" style="2" customWidth="1"/>
    <col min="22" max="22" width="5.7109375" style="2" customWidth="1"/>
    <col min="23" max="23" width="10.7109375" style="2" customWidth="1"/>
    <col min="24" max="24" width="5.7109375" style="2" customWidth="1"/>
    <col min="25" max="25" width="10.7109375" style="2" customWidth="1"/>
    <col min="26" max="26" width="5.7109375" style="2" customWidth="1"/>
    <col min="27" max="27" width="10.7109375" style="1" customWidth="1"/>
    <col min="28" max="28" width="9.5703125" style="1" customWidth="1"/>
    <col min="29" max="29" width="14.5703125" style="1" bestFit="1" customWidth="1"/>
    <col min="30" max="30" width="3.28515625" style="1" customWidth="1"/>
    <col min="31" max="31" width="11.42578125" style="1"/>
    <col min="32" max="32" width="3.7109375" style="1" customWidth="1"/>
    <col min="33" max="33" width="10.140625" style="1" customWidth="1"/>
    <col min="34" max="34" width="3.7109375" style="1" customWidth="1"/>
    <col min="35" max="35" width="11.42578125" style="1"/>
    <col min="36" max="36" width="3.7109375" style="1" customWidth="1"/>
    <col min="37" max="37" width="5.7109375" style="1" customWidth="1"/>
    <col min="38" max="38" width="3.7109375" style="1" customWidth="1"/>
    <col min="39" max="39" width="5.7109375" style="1" customWidth="1"/>
    <col min="40" max="40" width="3.7109375" style="1" customWidth="1"/>
    <col min="41" max="41" width="5.7109375" style="1" customWidth="1"/>
    <col min="42" max="16384" width="11.42578125" style="1"/>
  </cols>
  <sheetData>
    <row r="1" spans="1:39" ht="5.25" customHeight="1" x14ac:dyDescent="0.25">
      <c r="Y1" s="1"/>
      <c r="Z1" s="1"/>
    </row>
    <row r="2" spans="1:39" ht="21" x14ac:dyDescent="0.35">
      <c r="B2" s="3" t="s">
        <v>0</v>
      </c>
      <c r="P2" s="1"/>
      <c r="Q2" s="4"/>
      <c r="Z2" s="1"/>
    </row>
    <row r="3" spans="1:39" ht="15" customHeight="1" x14ac:dyDescent="0.25">
      <c r="A3" s="5"/>
      <c r="B3" s="6" t="s">
        <v>1</v>
      </c>
      <c r="C3" s="7"/>
      <c r="D3" s="7"/>
      <c r="E3" s="7"/>
      <c r="F3" s="7"/>
      <c r="P3" s="1"/>
      <c r="Q3" s="353"/>
      <c r="R3" s="353"/>
      <c r="S3" s="353"/>
      <c r="T3" s="353"/>
      <c r="U3" s="252"/>
      <c r="V3" s="252"/>
      <c r="Z3" s="1"/>
    </row>
    <row r="4" spans="1:39" ht="18" customHeight="1" x14ac:dyDescent="0.25">
      <c r="B4" s="253" t="s">
        <v>2</v>
      </c>
      <c r="C4" s="354" t="s">
        <v>71</v>
      </c>
      <c r="D4" s="355"/>
      <c r="E4" s="253"/>
      <c r="F4" s="253"/>
      <c r="P4" s="1"/>
      <c r="Q4" s="9"/>
      <c r="R4" s="10"/>
      <c r="S4" s="9"/>
      <c r="T4" s="9"/>
      <c r="U4" s="9"/>
      <c r="V4" s="9"/>
      <c r="Z4" s="1"/>
    </row>
    <row r="5" spans="1:39" ht="15.75" thickBot="1" x14ac:dyDescent="0.3">
      <c r="A5" s="253"/>
      <c r="B5" s="253"/>
      <c r="C5" s="253"/>
      <c r="D5" s="253"/>
      <c r="E5" s="253"/>
      <c r="J5" s="253"/>
      <c r="K5" s="253"/>
      <c r="P5" s="1"/>
      <c r="Q5" s="1"/>
      <c r="R5" s="1"/>
      <c r="S5" s="1"/>
      <c r="T5" s="1"/>
      <c r="U5" s="1"/>
      <c r="V5" s="9"/>
      <c r="W5" s="9"/>
      <c r="X5" s="9"/>
      <c r="Y5" s="9"/>
      <c r="Z5" s="9"/>
      <c r="AA5" s="9"/>
      <c r="AB5" s="2"/>
      <c r="AC5" s="2"/>
      <c r="AD5" s="2"/>
    </row>
    <row r="6" spans="1:39" ht="27.75" customHeight="1" thickBot="1" x14ac:dyDescent="0.3">
      <c r="B6" s="356" t="s">
        <v>3</v>
      </c>
      <c r="C6" s="343" t="s">
        <v>4</v>
      </c>
      <c r="D6" s="358" t="s">
        <v>36</v>
      </c>
      <c r="E6" s="359"/>
      <c r="F6" s="360"/>
      <c r="G6" s="360"/>
      <c r="H6" s="360"/>
      <c r="I6" s="361"/>
      <c r="J6" s="370" t="s">
        <v>42</v>
      </c>
      <c r="K6" s="371"/>
      <c r="L6" s="372"/>
      <c r="M6" s="372"/>
      <c r="N6" s="372"/>
      <c r="O6" s="373"/>
      <c r="P6" s="362" t="s">
        <v>42</v>
      </c>
      <c r="Q6" s="363"/>
      <c r="R6" s="364"/>
      <c r="S6" s="364"/>
      <c r="T6" s="364"/>
      <c r="U6" s="365"/>
      <c r="V6" s="366" t="s">
        <v>31</v>
      </c>
      <c r="W6" s="367"/>
      <c r="X6" s="368"/>
      <c r="Y6" s="368"/>
      <c r="Z6" s="368"/>
      <c r="AA6" s="369"/>
      <c r="AB6" s="349" t="s">
        <v>5</v>
      </c>
      <c r="AC6" s="349" t="s">
        <v>6</v>
      </c>
      <c r="AD6" s="2"/>
      <c r="AE6" s="351" t="s">
        <v>7</v>
      </c>
      <c r="AF6" s="2"/>
    </row>
    <row r="7" spans="1:39" ht="25.5" customHeight="1" thickBot="1" x14ac:dyDescent="0.3">
      <c r="B7" s="357"/>
      <c r="C7" s="344"/>
      <c r="D7" s="11" t="s">
        <v>8</v>
      </c>
      <c r="E7" s="12" t="s">
        <v>9</v>
      </c>
      <c r="F7" s="13" t="s">
        <v>8</v>
      </c>
      <c r="G7" s="14" t="s">
        <v>9</v>
      </c>
      <c r="H7" s="11" t="s">
        <v>5</v>
      </c>
      <c r="I7" s="14" t="s">
        <v>10</v>
      </c>
      <c r="J7" s="190" t="s">
        <v>8</v>
      </c>
      <c r="K7" s="192" t="s">
        <v>9</v>
      </c>
      <c r="L7" s="191" t="s">
        <v>8</v>
      </c>
      <c r="M7" s="192" t="s">
        <v>9</v>
      </c>
      <c r="N7" s="190" t="s">
        <v>5</v>
      </c>
      <c r="O7" s="192" t="s">
        <v>10</v>
      </c>
      <c r="P7" s="15" t="s">
        <v>8</v>
      </c>
      <c r="Q7" s="16" t="s">
        <v>9</v>
      </c>
      <c r="R7" s="17" t="s">
        <v>8</v>
      </c>
      <c r="S7" s="16" t="s">
        <v>9</v>
      </c>
      <c r="T7" s="15" t="s">
        <v>5</v>
      </c>
      <c r="U7" s="16" t="s">
        <v>10</v>
      </c>
      <c r="V7" s="18" t="s">
        <v>8</v>
      </c>
      <c r="W7" s="19" t="s">
        <v>9</v>
      </c>
      <c r="X7" s="20" t="s">
        <v>8</v>
      </c>
      <c r="Y7" s="21" t="s">
        <v>9</v>
      </c>
      <c r="Z7" s="18" t="s">
        <v>5</v>
      </c>
      <c r="AA7" s="21" t="s">
        <v>10</v>
      </c>
      <c r="AB7" s="350"/>
      <c r="AC7" s="350"/>
      <c r="AD7" s="2"/>
      <c r="AE7" s="352"/>
      <c r="AG7" s="22" t="s">
        <v>11</v>
      </c>
      <c r="AI7" s="22" t="s">
        <v>12</v>
      </c>
    </row>
    <row r="8" spans="1:39" x14ac:dyDescent="0.25">
      <c r="B8" s="173">
        <v>6320</v>
      </c>
      <c r="C8" s="23" t="s">
        <v>13</v>
      </c>
      <c r="D8" s="24"/>
      <c r="E8" s="25">
        <f>+D8*B8</f>
        <v>0</v>
      </c>
      <c r="F8" s="26"/>
      <c r="G8" s="27"/>
      <c r="H8" s="28">
        <f>D8+F8</f>
        <v>0</v>
      </c>
      <c r="I8" s="29">
        <f>E8+G8</f>
        <v>0</v>
      </c>
      <c r="J8" s="199"/>
      <c r="K8" s="249">
        <f>+J8*B8</f>
        <v>0</v>
      </c>
      <c r="L8" s="222"/>
      <c r="M8" s="202"/>
      <c r="N8" s="193">
        <f>J8+L8</f>
        <v>0</v>
      </c>
      <c r="O8" s="194">
        <f>K8+M8</f>
        <v>0</v>
      </c>
      <c r="P8" s="30"/>
      <c r="Q8" s="31">
        <f>+P8*B8</f>
        <v>0</v>
      </c>
      <c r="R8" s="32"/>
      <c r="S8" s="33"/>
      <c r="T8" s="34">
        <f>P8+R8</f>
        <v>0</v>
      </c>
      <c r="U8" s="35">
        <f>Q8+S8</f>
        <v>0</v>
      </c>
      <c r="V8" s="36"/>
      <c r="W8" s="37">
        <f t="shared" ref="W8:W19" si="0">+V8*B8</f>
        <v>0</v>
      </c>
      <c r="X8" s="38"/>
      <c r="Y8" s="39"/>
      <c r="Z8" s="40">
        <f>V8+X8</f>
        <v>0</v>
      </c>
      <c r="AA8" s="41">
        <f>Y8+W8</f>
        <v>0</v>
      </c>
      <c r="AB8" s="42">
        <f>+D8+F8+P8+R8+V8+X8+L8+J8</f>
        <v>0</v>
      </c>
      <c r="AC8" s="188">
        <f>+E8+G8+Q8+S8+W8+Y8+K8+M8</f>
        <v>0</v>
      </c>
      <c r="AD8" s="44"/>
      <c r="AE8" s="45"/>
      <c r="AG8" s="187">
        <f>E8+W8+Q8+K8</f>
        <v>0</v>
      </c>
      <c r="AI8" s="45">
        <f>G8+Y8+S8+M8</f>
        <v>0</v>
      </c>
      <c r="AK8" s="139">
        <f>F8+R8+X8+L8</f>
        <v>0</v>
      </c>
      <c r="AM8" s="139">
        <f>+D8+P8+V8+J8</f>
        <v>0</v>
      </c>
    </row>
    <row r="9" spans="1:39" x14ac:dyDescent="0.25">
      <c r="B9" s="174">
        <v>6320</v>
      </c>
      <c r="C9" s="180" t="s">
        <v>14</v>
      </c>
      <c r="D9" s="47"/>
      <c r="E9" s="48">
        <f t="shared" ref="E9:E19" si="1">+D9*B9</f>
        <v>0</v>
      </c>
      <c r="F9" s="49"/>
      <c r="G9" s="50"/>
      <c r="H9" s="51">
        <f>D9+F9</f>
        <v>0</v>
      </c>
      <c r="I9" s="52">
        <f>G9+E9</f>
        <v>0</v>
      </c>
      <c r="J9" s="203"/>
      <c r="K9" s="248">
        <f t="shared" ref="K9:K19" si="2">+J9*B9</f>
        <v>0</v>
      </c>
      <c r="L9" s="223"/>
      <c r="M9" s="206"/>
      <c r="N9" s="195">
        <f>J9+L9</f>
        <v>0</v>
      </c>
      <c r="O9" s="196">
        <f>M9+K9</f>
        <v>0</v>
      </c>
      <c r="P9" s="53"/>
      <c r="Q9" s="31">
        <f t="shared" ref="Q9:Q19" si="3">+P9*B9</f>
        <v>0</v>
      </c>
      <c r="R9" s="55">
        <v>7</v>
      </c>
      <c r="S9" s="56">
        <f>2528+6320*6</f>
        <v>40448</v>
      </c>
      <c r="T9" s="57">
        <f>P9+R9</f>
        <v>7</v>
      </c>
      <c r="U9" s="58">
        <f>S9+Q9</f>
        <v>40448</v>
      </c>
      <c r="V9" s="59"/>
      <c r="W9" s="60">
        <f t="shared" si="0"/>
        <v>0</v>
      </c>
      <c r="X9" s="61">
        <v>1</v>
      </c>
      <c r="Y9" s="62">
        <v>6320</v>
      </c>
      <c r="Z9" s="63">
        <f>V9+X9</f>
        <v>1</v>
      </c>
      <c r="AA9" s="41">
        <f>Y9+W9</f>
        <v>6320</v>
      </c>
      <c r="AB9" s="152">
        <f t="shared" ref="AB9:AB22" si="4">+D9+F9+P9+R9+V9+X9+L9+J9</f>
        <v>8</v>
      </c>
      <c r="AC9" s="339">
        <f t="shared" ref="AC9:AC22" si="5">+E9+G9+Q9+S9+W9+Y9+K9+M9</f>
        <v>46768</v>
      </c>
      <c r="AD9" s="44"/>
      <c r="AE9" s="151">
        <v>3792</v>
      </c>
      <c r="AG9" s="251">
        <f t="shared" ref="AG9:AG22" si="6">E9+W9+Q9+K9</f>
        <v>0</v>
      </c>
      <c r="AI9" s="151">
        <f t="shared" ref="AI9:AI22" si="7">G9+Y9+S9+M9</f>
        <v>46768</v>
      </c>
      <c r="AK9" s="142">
        <f t="shared" ref="AK9:AK22" si="8">F9+R9+X9+L9</f>
        <v>8</v>
      </c>
      <c r="AM9" s="142">
        <f t="shared" ref="AM9:AM22" si="9">+D9+P9+V9+J9</f>
        <v>0</v>
      </c>
    </row>
    <row r="10" spans="1:39" x14ac:dyDescent="0.25">
      <c r="B10" s="174">
        <v>6320</v>
      </c>
      <c r="C10" s="46" t="s">
        <v>16</v>
      </c>
      <c r="D10" s="47"/>
      <c r="E10" s="48">
        <f t="shared" si="1"/>
        <v>0</v>
      </c>
      <c r="F10" s="49"/>
      <c r="G10" s="50"/>
      <c r="H10" s="51">
        <f t="shared" ref="H10:H22" si="10">D10+F10</f>
        <v>0</v>
      </c>
      <c r="I10" s="52">
        <f t="shared" ref="I10:I22" si="11">G10+E10</f>
        <v>0</v>
      </c>
      <c r="J10" s="203"/>
      <c r="K10" s="248">
        <f t="shared" si="2"/>
        <v>0</v>
      </c>
      <c r="L10" s="223"/>
      <c r="M10" s="206"/>
      <c r="N10" s="195">
        <f t="shared" ref="N10:N22" si="12">J10+L10</f>
        <v>0</v>
      </c>
      <c r="O10" s="196">
        <f t="shared" ref="O10:O22" si="13">M10+K10</f>
        <v>0</v>
      </c>
      <c r="P10" s="53"/>
      <c r="Q10" s="31">
        <f t="shared" si="3"/>
        <v>0</v>
      </c>
      <c r="R10" s="55"/>
      <c r="S10" s="56"/>
      <c r="T10" s="57">
        <f t="shared" ref="T10:T22" si="14">P10+R10</f>
        <v>0</v>
      </c>
      <c r="U10" s="58">
        <f t="shared" ref="U10:U22" si="15">S10+Q10</f>
        <v>0</v>
      </c>
      <c r="V10" s="59"/>
      <c r="W10" s="60">
        <f t="shared" si="0"/>
        <v>0</v>
      </c>
      <c r="X10" s="61"/>
      <c r="Y10" s="62"/>
      <c r="Z10" s="63">
        <f t="shared" ref="Z10:Z22" si="16">V10+X10</f>
        <v>0</v>
      </c>
      <c r="AA10" s="41">
        <f t="shared" ref="AA10:AA22" si="17">Y10+W10</f>
        <v>0</v>
      </c>
      <c r="AB10" s="42">
        <f t="shared" si="4"/>
        <v>0</v>
      </c>
      <c r="AC10" s="188">
        <f t="shared" si="5"/>
        <v>0</v>
      </c>
      <c r="AD10" s="44"/>
      <c r="AE10" s="64"/>
      <c r="AG10" s="218">
        <f t="shared" si="6"/>
        <v>0</v>
      </c>
      <c r="AI10" s="64">
        <f t="shared" si="7"/>
        <v>0</v>
      </c>
      <c r="AK10" s="142">
        <f t="shared" si="8"/>
        <v>0</v>
      </c>
      <c r="AM10" s="142">
        <f t="shared" si="9"/>
        <v>0</v>
      </c>
    </row>
    <row r="11" spans="1:39" x14ac:dyDescent="0.25">
      <c r="B11" s="174">
        <v>6320</v>
      </c>
      <c r="C11" s="153" t="s">
        <v>17</v>
      </c>
      <c r="D11" s="65"/>
      <c r="E11" s="48">
        <f t="shared" si="1"/>
        <v>0</v>
      </c>
      <c r="F11" s="49"/>
      <c r="G11" s="50"/>
      <c r="H11" s="51">
        <f t="shared" si="10"/>
        <v>0</v>
      </c>
      <c r="I11" s="52">
        <f t="shared" si="11"/>
        <v>0</v>
      </c>
      <c r="J11" s="207"/>
      <c r="K11" s="248">
        <f t="shared" si="2"/>
        <v>0</v>
      </c>
      <c r="L11" s="223"/>
      <c r="M11" s="206"/>
      <c r="N11" s="195">
        <f t="shared" si="12"/>
        <v>0</v>
      </c>
      <c r="O11" s="196">
        <f t="shared" si="13"/>
        <v>0</v>
      </c>
      <c r="P11" s="66"/>
      <c r="Q11" s="31">
        <f t="shared" si="3"/>
        <v>0</v>
      </c>
      <c r="R11" s="67">
        <v>9</v>
      </c>
      <c r="S11" s="56">
        <f>6320*9</f>
        <v>56880</v>
      </c>
      <c r="T11" s="57">
        <f t="shared" si="14"/>
        <v>9</v>
      </c>
      <c r="U11" s="58">
        <f t="shared" si="15"/>
        <v>56880</v>
      </c>
      <c r="V11" s="68"/>
      <c r="W11" s="60">
        <f t="shared" si="0"/>
        <v>0</v>
      </c>
      <c r="X11" s="69">
        <v>4</v>
      </c>
      <c r="Y11" s="62">
        <f>6320*3+1896</f>
        <v>20856</v>
      </c>
      <c r="Z11" s="63">
        <f t="shared" si="16"/>
        <v>4</v>
      </c>
      <c r="AA11" s="41">
        <f t="shared" si="17"/>
        <v>20856</v>
      </c>
      <c r="AB11" s="152">
        <f t="shared" si="4"/>
        <v>13</v>
      </c>
      <c r="AC11" s="220">
        <f t="shared" si="5"/>
        <v>77736</v>
      </c>
      <c r="AD11" s="70"/>
      <c r="AE11" s="151">
        <v>4424</v>
      </c>
      <c r="AG11" s="218">
        <f t="shared" si="6"/>
        <v>0</v>
      </c>
      <c r="AI11" s="151">
        <f t="shared" si="7"/>
        <v>77736</v>
      </c>
      <c r="AK11" s="142">
        <f t="shared" si="8"/>
        <v>13</v>
      </c>
      <c r="AM11" s="142">
        <f t="shared" si="9"/>
        <v>0</v>
      </c>
    </row>
    <row r="12" spans="1:39" x14ac:dyDescent="0.25">
      <c r="B12" s="174">
        <v>6320</v>
      </c>
      <c r="C12" s="46" t="s">
        <v>18</v>
      </c>
      <c r="D12" s="65"/>
      <c r="E12" s="48">
        <f t="shared" si="1"/>
        <v>0</v>
      </c>
      <c r="F12" s="49"/>
      <c r="G12" s="50"/>
      <c r="H12" s="51">
        <f t="shared" si="10"/>
        <v>0</v>
      </c>
      <c r="I12" s="52">
        <f t="shared" si="11"/>
        <v>0</v>
      </c>
      <c r="J12" s="207"/>
      <c r="K12" s="248">
        <f t="shared" si="2"/>
        <v>0</v>
      </c>
      <c r="L12" s="223"/>
      <c r="M12" s="206"/>
      <c r="N12" s="195">
        <f t="shared" si="12"/>
        <v>0</v>
      </c>
      <c r="O12" s="196">
        <f t="shared" si="13"/>
        <v>0</v>
      </c>
      <c r="P12" s="66"/>
      <c r="Q12" s="31">
        <f t="shared" si="3"/>
        <v>0</v>
      </c>
      <c r="R12" s="67"/>
      <c r="S12" s="56"/>
      <c r="T12" s="57">
        <f t="shared" si="14"/>
        <v>0</v>
      </c>
      <c r="U12" s="58">
        <f t="shared" si="15"/>
        <v>0</v>
      </c>
      <c r="V12" s="68"/>
      <c r="W12" s="60">
        <f t="shared" si="0"/>
        <v>0</v>
      </c>
      <c r="X12" s="69"/>
      <c r="Y12" s="62"/>
      <c r="Z12" s="63">
        <f t="shared" si="16"/>
        <v>0</v>
      </c>
      <c r="AA12" s="41">
        <f t="shared" si="17"/>
        <v>0</v>
      </c>
      <c r="AB12" s="42">
        <f t="shared" si="4"/>
        <v>0</v>
      </c>
      <c r="AC12" s="188">
        <f t="shared" si="5"/>
        <v>0</v>
      </c>
      <c r="AD12" s="71"/>
      <c r="AE12" s="64"/>
      <c r="AG12" s="218">
        <f t="shared" si="6"/>
        <v>0</v>
      </c>
      <c r="AI12" s="64">
        <f t="shared" si="7"/>
        <v>0</v>
      </c>
      <c r="AK12" s="142">
        <f t="shared" si="8"/>
        <v>0</v>
      </c>
      <c r="AM12" s="142">
        <f t="shared" si="9"/>
        <v>0</v>
      </c>
    </row>
    <row r="13" spans="1:39" x14ac:dyDescent="0.25">
      <c r="B13" s="174">
        <v>6320</v>
      </c>
      <c r="C13" s="46" t="s">
        <v>19</v>
      </c>
      <c r="D13" s="65"/>
      <c r="E13" s="48">
        <f t="shared" si="1"/>
        <v>0</v>
      </c>
      <c r="F13" s="49"/>
      <c r="G13" s="50"/>
      <c r="H13" s="51">
        <f t="shared" si="10"/>
        <v>0</v>
      </c>
      <c r="I13" s="52">
        <f t="shared" si="11"/>
        <v>0</v>
      </c>
      <c r="J13" s="207"/>
      <c r="K13" s="248">
        <f t="shared" si="2"/>
        <v>0</v>
      </c>
      <c r="L13" s="223"/>
      <c r="M13" s="206"/>
      <c r="N13" s="195">
        <f t="shared" si="12"/>
        <v>0</v>
      </c>
      <c r="O13" s="196">
        <f t="shared" si="13"/>
        <v>0</v>
      </c>
      <c r="P13" s="66"/>
      <c r="Q13" s="31">
        <f t="shared" si="3"/>
        <v>0</v>
      </c>
      <c r="R13" s="67"/>
      <c r="S13" s="56"/>
      <c r="T13" s="57">
        <f t="shared" si="14"/>
        <v>0</v>
      </c>
      <c r="U13" s="58">
        <f t="shared" si="15"/>
        <v>0</v>
      </c>
      <c r="V13" s="68"/>
      <c r="W13" s="60">
        <f t="shared" si="0"/>
        <v>0</v>
      </c>
      <c r="X13" s="69"/>
      <c r="Y13" s="62"/>
      <c r="Z13" s="63">
        <f t="shared" si="16"/>
        <v>0</v>
      </c>
      <c r="AA13" s="41">
        <f t="shared" si="17"/>
        <v>0</v>
      </c>
      <c r="AB13" s="42">
        <f t="shared" si="4"/>
        <v>0</v>
      </c>
      <c r="AC13" s="188">
        <f t="shared" si="5"/>
        <v>0</v>
      </c>
      <c r="AD13" s="70"/>
      <c r="AE13" s="64"/>
      <c r="AG13" s="218">
        <f t="shared" si="6"/>
        <v>0</v>
      </c>
      <c r="AI13" s="64">
        <f t="shared" si="7"/>
        <v>0</v>
      </c>
      <c r="AK13" s="142">
        <f t="shared" si="8"/>
        <v>0</v>
      </c>
      <c r="AM13" s="142">
        <f t="shared" si="9"/>
        <v>0</v>
      </c>
    </row>
    <row r="14" spans="1:39" x14ac:dyDescent="0.25">
      <c r="B14" s="174">
        <v>6320</v>
      </c>
      <c r="C14" s="46" t="s">
        <v>20</v>
      </c>
      <c r="D14" s="65"/>
      <c r="E14" s="48">
        <f t="shared" si="1"/>
        <v>0</v>
      </c>
      <c r="F14" s="49"/>
      <c r="G14" s="50"/>
      <c r="H14" s="51">
        <f t="shared" si="10"/>
        <v>0</v>
      </c>
      <c r="I14" s="52">
        <f t="shared" si="11"/>
        <v>0</v>
      </c>
      <c r="J14" s="207"/>
      <c r="K14" s="248">
        <f t="shared" si="2"/>
        <v>0</v>
      </c>
      <c r="L14" s="223"/>
      <c r="M14" s="206"/>
      <c r="N14" s="195">
        <f t="shared" si="12"/>
        <v>0</v>
      </c>
      <c r="O14" s="196">
        <f t="shared" si="13"/>
        <v>0</v>
      </c>
      <c r="P14" s="66"/>
      <c r="Q14" s="31">
        <f t="shared" si="3"/>
        <v>0</v>
      </c>
      <c r="R14" s="67"/>
      <c r="S14" s="56"/>
      <c r="T14" s="57">
        <f t="shared" si="14"/>
        <v>0</v>
      </c>
      <c r="U14" s="58">
        <f t="shared" si="15"/>
        <v>0</v>
      </c>
      <c r="V14" s="68"/>
      <c r="W14" s="60">
        <f t="shared" si="0"/>
        <v>0</v>
      </c>
      <c r="X14" s="69"/>
      <c r="Y14" s="62"/>
      <c r="Z14" s="63">
        <f t="shared" si="16"/>
        <v>0</v>
      </c>
      <c r="AA14" s="41">
        <f t="shared" si="17"/>
        <v>0</v>
      </c>
      <c r="AB14" s="42">
        <f t="shared" si="4"/>
        <v>0</v>
      </c>
      <c r="AC14" s="188">
        <f t="shared" si="5"/>
        <v>0</v>
      </c>
      <c r="AD14" s="70"/>
      <c r="AE14" s="64"/>
      <c r="AG14" s="218">
        <f t="shared" si="6"/>
        <v>0</v>
      </c>
      <c r="AI14" s="64">
        <f t="shared" si="7"/>
        <v>0</v>
      </c>
      <c r="AK14" s="142">
        <f t="shared" si="8"/>
        <v>0</v>
      </c>
      <c r="AM14" s="142">
        <f t="shared" si="9"/>
        <v>0</v>
      </c>
    </row>
    <row r="15" spans="1:39" x14ac:dyDescent="0.25">
      <c r="B15" s="174">
        <v>6320</v>
      </c>
      <c r="C15" s="46" t="s">
        <v>21</v>
      </c>
      <c r="D15" s="65"/>
      <c r="E15" s="48">
        <f t="shared" si="1"/>
        <v>0</v>
      </c>
      <c r="F15" s="49"/>
      <c r="G15" s="50"/>
      <c r="H15" s="51">
        <f t="shared" si="10"/>
        <v>0</v>
      </c>
      <c r="I15" s="52">
        <f t="shared" si="11"/>
        <v>0</v>
      </c>
      <c r="J15" s="207"/>
      <c r="K15" s="248">
        <f t="shared" si="2"/>
        <v>0</v>
      </c>
      <c r="L15" s="223"/>
      <c r="M15" s="206"/>
      <c r="N15" s="195">
        <f t="shared" si="12"/>
        <v>0</v>
      </c>
      <c r="O15" s="196">
        <f t="shared" si="13"/>
        <v>0</v>
      </c>
      <c r="P15" s="66"/>
      <c r="Q15" s="31">
        <f t="shared" si="3"/>
        <v>0</v>
      </c>
      <c r="R15" s="67"/>
      <c r="S15" s="56"/>
      <c r="T15" s="57">
        <f t="shared" si="14"/>
        <v>0</v>
      </c>
      <c r="U15" s="58">
        <f t="shared" si="15"/>
        <v>0</v>
      </c>
      <c r="V15" s="68"/>
      <c r="W15" s="60">
        <f t="shared" si="0"/>
        <v>0</v>
      </c>
      <c r="X15" s="69"/>
      <c r="Y15" s="62"/>
      <c r="Z15" s="63">
        <f t="shared" si="16"/>
        <v>0</v>
      </c>
      <c r="AA15" s="41">
        <f t="shared" si="17"/>
        <v>0</v>
      </c>
      <c r="AB15" s="42">
        <f t="shared" si="4"/>
        <v>0</v>
      </c>
      <c r="AC15" s="188">
        <f t="shared" si="5"/>
        <v>0</v>
      </c>
      <c r="AD15" s="70"/>
      <c r="AE15" s="64"/>
      <c r="AG15" s="218">
        <f t="shared" si="6"/>
        <v>0</v>
      </c>
      <c r="AI15" s="64">
        <f t="shared" si="7"/>
        <v>0</v>
      </c>
      <c r="AK15" s="142">
        <f t="shared" si="8"/>
        <v>0</v>
      </c>
      <c r="AM15" s="142">
        <f t="shared" si="9"/>
        <v>0</v>
      </c>
    </row>
    <row r="16" spans="1:39" x14ac:dyDescent="0.25">
      <c r="B16" s="174" t="s">
        <v>26</v>
      </c>
      <c r="C16" s="46" t="s">
        <v>33</v>
      </c>
      <c r="D16" s="65"/>
      <c r="E16" s="48">
        <v>0</v>
      </c>
      <c r="F16" s="49"/>
      <c r="G16" s="50"/>
      <c r="H16" s="51">
        <f t="shared" si="10"/>
        <v>0</v>
      </c>
      <c r="I16" s="52">
        <f t="shared" si="11"/>
        <v>0</v>
      </c>
      <c r="J16" s="207"/>
      <c r="K16" s="248">
        <v>0</v>
      </c>
      <c r="L16" s="223"/>
      <c r="M16" s="206"/>
      <c r="N16" s="195">
        <f t="shared" si="12"/>
        <v>0</v>
      </c>
      <c r="O16" s="196">
        <f t="shared" si="13"/>
        <v>0</v>
      </c>
      <c r="P16" s="66"/>
      <c r="Q16" s="31">
        <v>0</v>
      </c>
      <c r="R16" s="67"/>
      <c r="S16" s="56"/>
      <c r="T16" s="57">
        <f t="shared" si="14"/>
        <v>0</v>
      </c>
      <c r="U16" s="58">
        <v>0</v>
      </c>
      <c r="V16" s="68"/>
      <c r="W16" s="60">
        <v>0</v>
      </c>
      <c r="X16" s="69"/>
      <c r="Y16" s="62"/>
      <c r="Z16" s="63">
        <f>+X16+V16</f>
        <v>0</v>
      </c>
      <c r="AA16" s="41">
        <f>+Y16+W16</f>
        <v>0</v>
      </c>
      <c r="AB16" s="42">
        <f t="shared" si="4"/>
        <v>0</v>
      </c>
      <c r="AC16" s="188">
        <f t="shared" si="5"/>
        <v>0</v>
      </c>
      <c r="AD16" s="70"/>
      <c r="AE16" s="64"/>
      <c r="AG16" s="218">
        <f t="shared" si="6"/>
        <v>0</v>
      </c>
      <c r="AI16" s="64">
        <f t="shared" si="7"/>
        <v>0</v>
      </c>
      <c r="AK16" s="142">
        <f t="shared" si="8"/>
        <v>0</v>
      </c>
      <c r="AM16" s="142">
        <f t="shared" si="9"/>
        <v>0</v>
      </c>
    </row>
    <row r="17" spans="2:41" x14ac:dyDescent="0.25">
      <c r="B17" s="175">
        <v>14010</v>
      </c>
      <c r="C17" s="46" t="s">
        <v>23</v>
      </c>
      <c r="D17" s="65"/>
      <c r="E17" s="48">
        <f t="shared" si="1"/>
        <v>0</v>
      </c>
      <c r="F17" s="49"/>
      <c r="G17" s="50"/>
      <c r="H17" s="51">
        <f t="shared" si="10"/>
        <v>0</v>
      </c>
      <c r="I17" s="52">
        <f t="shared" si="11"/>
        <v>0</v>
      </c>
      <c r="J17" s="207"/>
      <c r="K17" s="248">
        <f t="shared" si="2"/>
        <v>0</v>
      </c>
      <c r="L17" s="223"/>
      <c r="M17" s="206"/>
      <c r="N17" s="195">
        <f t="shared" si="12"/>
        <v>0</v>
      </c>
      <c r="O17" s="196">
        <f t="shared" si="13"/>
        <v>0</v>
      </c>
      <c r="P17" s="66"/>
      <c r="Q17" s="31">
        <f t="shared" si="3"/>
        <v>0</v>
      </c>
      <c r="R17" s="67"/>
      <c r="S17" s="56"/>
      <c r="T17" s="57">
        <f t="shared" si="14"/>
        <v>0</v>
      </c>
      <c r="U17" s="58">
        <f t="shared" si="15"/>
        <v>0</v>
      </c>
      <c r="V17" s="68"/>
      <c r="W17" s="60">
        <f t="shared" si="0"/>
        <v>0</v>
      </c>
      <c r="X17" s="69"/>
      <c r="Y17" s="62"/>
      <c r="Z17" s="63">
        <f t="shared" si="16"/>
        <v>0</v>
      </c>
      <c r="AA17" s="41">
        <f t="shared" si="17"/>
        <v>0</v>
      </c>
      <c r="AB17" s="42">
        <f t="shared" si="4"/>
        <v>0</v>
      </c>
      <c r="AC17" s="188">
        <f t="shared" si="5"/>
        <v>0</v>
      </c>
      <c r="AD17" s="70"/>
      <c r="AE17" s="64"/>
      <c r="AG17" s="218">
        <f t="shared" si="6"/>
        <v>0</v>
      </c>
      <c r="AI17" s="64">
        <f t="shared" si="7"/>
        <v>0</v>
      </c>
      <c r="AK17" s="142">
        <f t="shared" si="8"/>
        <v>0</v>
      </c>
      <c r="AM17" s="142">
        <f t="shared" si="9"/>
        <v>0</v>
      </c>
    </row>
    <row r="18" spans="2:41" x14ac:dyDescent="0.25">
      <c r="B18" s="174">
        <v>11870</v>
      </c>
      <c r="C18" s="153" t="s">
        <v>24</v>
      </c>
      <c r="D18" s="65"/>
      <c r="E18" s="48">
        <f t="shared" si="1"/>
        <v>0</v>
      </c>
      <c r="F18" s="49"/>
      <c r="G18" s="50"/>
      <c r="H18" s="51">
        <f t="shared" si="10"/>
        <v>0</v>
      </c>
      <c r="I18" s="52">
        <f t="shared" si="11"/>
        <v>0</v>
      </c>
      <c r="J18" s="207"/>
      <c r="K18" s="248">
        <f t="shared" si="2"/>
        <v>0</v>
      </c>
      <c r="L18" s="223"/>
      <c r="M18" s="206"/>
      <c r="N18" s="195">
        <f t="shared" si="12"/>
        <v>0</v>
      </c>
      <c r="O18" s="196">
        <f t="shared" si="13"/>
        <v>0</v>
      </c>
      <c r="P18" s="66"/>
      <c r="Q18" s="31">
        <f t="shared" si="3"/>
        <v>0</v>
      </c>
      <c r="R18" s="67"/>
      <c r="S18" s="56"/>
      <c r="T18" s="57">
        <f t="shared" si="14"/>
        <v>0</v>
      </c>
      <c r="U18" s="58">
        <f t="shared" si="15"/>
        <v>0</v>
      </c>
      <c r="V18" s="68"/>
      <c r="W18" s="60">
        <f t="shared" si="0"/>
        <v>0</v>
      </c>
      <c r="X18" s="69">
        <v>2</v>
      </c>
      <c r="Y18" s="62">
        <f>11870*2</f>
        <v>23740</v>
      </c>
      <c r="Z18" s="63">
        <f t="shared" si="16"/>
        <v>2</v>
      </c>
      <c r="AA18" s="41">
        <f t="shared" si="17"/>
        <v>23740</v>
      </c>
      <c r="AB18" s="152">
        <f t="shared" si="4"/>
        <v>2</v>
      </c>
      <c r="AC18" s="220">
        <f t="shared" si="5"/>
        <v>23740</v>
      </c>
      <c r="AD18" s="70"/>
      <c r="AE18" s="64"/>
      <c r="AG18" s="218">
        <f t="shared" si="6"/>
        <v>0</v>
      </c>
      <c r="AI18" s="151">
        <f t="shared" si="7"/>
        <v>23740</v>
      </c>
      <c r="AK18" s="142">
        <f t="shared" si="8"/>
        <v>2</v>
      </c>
      <c r="AM18" s="142">
        <f t="shared" si="9"/>
        <v>0</v>
      </c>
    </row>
    <row r="19" spans="2:41" x14ac:dyDescent="0.25">
      <c r="B19" s="174">
        <v>6710</v>
      </c>
      <c r="C19" s="153" t="s">
        <v>0</v>
      </c>
      <c r="D19" s="65"/>
      <c r="E19" s="48">
        <f t="shared" si="1"/>
        <v>0</v>
      </c>
      <c r="F19" s="72"/>
      <c r="G19" s="50"/>
      <c r="H19" s="51">
        <f t="shared" si="10"/>
        <v>0</v>
      </c>
      <c r="I19" s="52">
        <f t="shared" si="11"/>
        <v>0</v>
      </c>
      <c r="J19" s="207"/>
      <c r="K19" s="248">
        <f t="shared" si="2"/>
        <v>0</v>
      </c>
      <c r="L19" s="224"/>
      <c r="M19" s="206"/>
      <c r="N19" s="195">
        <f t="shared" si="12"/>
        <v>0</v>
      </c>
      <c r="O19" s="196">
        <f t="shared" si="13"/>
        <v>0</v>
      </c>
      <c r="P19" s="66"/>
      <c r="Q19" s="31">
        <f t="shared" si="3"/>
        <v>0</v>
      </c>
      <c r="R19" s="73">
        <v>3</v>
      </c>
      <c r="S19" s="56">
        <f>6710*3</f>
        <v>20130</v>
      </c>
      <c r="T19" s="57">
        <f t="shared" si="14"/>
        <v>3</v>
      </c>
      <c r="U19" s="58">
        <f t="shared" si="15"/>
        <v>20130</v>
      </c>
      <c r="V19" s="68"/>
      <c r="W19" s="60">
        <f t="shared" si="0"/>
        <v>0</v>
      </c>
      <c r="X19" s="74">
        <v>6</v>
      </c>
      <c r="Y19" s="62">
        <f>6710*6</f>
        <v>40260</v>
      </c>
      <c r="Z19" s="63">
        <f t="shared" si="16"/>
        <v>6</v>
      </c>
      <c r="AA19" s="41">
        <f t="shared" si="17"/>
        <v>40260</v>
      </c>
      <c r="AB19" s="152">
        <f t="shared" si="4"/>
        <v>9</v>
      </c>
      <c r="AC19" s="220">
        <f t="shared" si="5"/>
        <v>60390</v>
      </c>
      <c r="AD19" s="70"/>
      <c r="AE19" s="64"/>
      <c r="AF19" s="1" t="s">
        <v>25</v>
      </c>
      <c r="AG19" s="218">
        <f t="shared" si="6"/>
        <v>0</v>
      </c>
      <c r="AI19" s="151">
        <f t="shared" si="7"/>
        <v>60390</v>
      </c>
      <c r="AK19" s="142">
        <f t="shared" si="8"/>
        <v>9</v>
      </c>
      <c r="AM19" s="142">
        <f t="shared" si="9"/>
        <v>0</v>
      </c>
    </row>
    <row r="20" spans="2:41" x14ac:dyDescent="0.25">
      <c r="B20" s="174" t="s">
        <v>26</v>
      </c>
      <c r="C20" s="46" t="s">
        <v>0</v>
      </c>
      <c r="D20" s="65"/>
      <c r="E20" s="48">
        <v>0</v>
      </c>
      <c r="F20" s="49"/>
      <c r="G20" s="50"/>
      <c r="H20" s="51">
        <f t="shared" si="10"/>
        <v>0</v>
      </c>
      <c r="I20" s="52">
        <f t="shared" si="11"/>
        <v>0</v>
      </c>
      <c r="J20" s="207"/>
      <c r="K20" s="248">
        <v>0</v>
      </c>
      <c r="L20" s="223"/>
      <c r="M20" s="206"/>
      <c r="N20" s="195">
        <f t="shared" si="12"/>
        <v>0</v>
      </c>
      <c r="O20" s="196">
        <f t="shared" si="13"/>
        <v>0</v>
      </c>
      <c r="P20" s="66"/>
      <c r="Q20" s="31">
        <v>0</v>
      </c>
      <c r="R20" s="67"/>
      <c r="S20" s="56"/>
      <c r="T20" s="57">
        <f t="shared" si="14"/>
        <v>0</v>
      </c>
      <c r="U20" s="58">
        <f t="shared" si="15"/>
        <v>0</v>
      </c>
      <c r="V20" s="68"/>
      <c r="W20" s="60">
        <v>0</v>
      </c>
      <c r="X20" s="69"/>
      <c r="Y20" s="62"/>
      <c r="Z20" s="63">
        <f t="shared" si="16"/>
        <v>0</v>
      </c>
      <c r="AA20" s="41">
        <f t="shared" si="17"/>
        <v>0</v>
      </c>
      <c r="AB20" s="42">
        <f t="shared" si="4"/>
        <v>0</v>
      </c>
      <c r="AC20" s="188">
        <f t="shared" si="5"/>
        <v>0</v>
      </c>
      <c r="AD20" s="70"/>
      <c r="AE20" s="64"/>
      <c r="AG20" s="218">
        <f t="shared" si="6"/>
        <v>0</v>
      </c>
      <c r="AI20" s="64">
        <f t="shared" si="7"/>
        <v>0</v>
      </c>
      <c r="AK20" s="142">
        <f t="shared" si="8"/>
        <v>0</v>
      </c>
      <c r="AM20" s="142">
        <f t="shared" si="9"/>
        <v>0</v>
      </c>
    </row>
    <row r="21" spans="2:41" x14ac:dyDescent="0.25">
      <c r="B21" s="174" t="s">
        <v>26</v>
      </c>
      <c r="C21" s="153" t="s">
        <v>28</v>
      </c>
      <c r="D21" s="65"/>
      <c r="E21" s="75">
        <v>0</v>
      </c>
      <c r="F21" s="49"/>
      <c r="G21" s="50"/>
      <c r="H21" s="51">
        <f t="shared" si="10"/>
        <v>0</v>
      </c>
      <c r="I21" s="52">
        <f t="shared" si="11"/>
        <v>0</v>
      </c>
      <c r="J21" s="207"/>
      <c r="K21" s="248">
        <v>0</v>
      </c>
      <c r="L21" s="223"/>
      <c r="M21" s="206"/>
      <c r="N21" s="195">
        <f t="shared" si="12"/>
        <v>0</v>
      </c>
      <c r="O21" s="196">
        <f t="shared" si="13"/>
        <v>0</v>
      </c>
      <c r="P21" s="66"/>
      <c r="Q21" s="31">
        <v>0</v>
      </c>
      <c r="R21" s="67"/>
      <c r="S21" s="56"/>
      <c r="T21" s="57">
        <f t="shared" si="14"/>
        <v>0</v>
      </c>
      <c r="U21" s="58">
        <f t="shared" si="15"/>
        <v>0</v>
      </c>
      <c r="V21" s="68"/>
      <c r="W21" s="60">
        <v>0</v>
      </c>
      <c r="X21" s="69">
        <v>3</v>
      </c>
      <c r="Y21" s="62">
        <f>30910+17160+13750</f>
        <v>61820</v>
      </c>
      <c r="Z21" s="63">
        <f t="shared" si="16"/>
        <v>3</v>
      </c>
      <c r="AA21" s="41">
        <f t="shared" si="17"/>
        <v>61820</v>
      </c>
      <c r="AB21" s="152">
        <f t="shared" si="4"/>
        <v>3</v>
      </c>
      <c r="AC21" s="220">
        <f t="shared" si="5"/>
        <v>61820</v>
      </c>
      <c r="AD21" s="70"/>
      <c r="AE21" s="64"/>
      <c r="AG21" s="218">
        <f t="shared" si="6"/>
        <v>0</v>
      </c>
      <c r="AI21" s="151">
        <f t="shared" si="7"/>
        <v>61820</v>
      </c>
      <c r="AK21" s="142">
        <f t="shared" si="8"/>
        <v>3</v>
      </c>
      <c r="AM21" s="142">
        <f t="shared" si="9"/>
        <v>0</v>
      </c>
    </row>
    <row r="22" spans="2:41" ht="15.75" thickBot="1" x14ac:dyDescent="0.3">
      <c r="B22" s="176" t="s">
        <v>26</v>
      </c>
      <c r="C22" s="76" t="s">
        <v>29</v>
      </c>
      <c r="D22" s="77"/>
      <c r="E22" s="78">
        <v>0</v>
      </c>
      <c r="F22" s="79"/>
      <c r="G22" s="80"/>
      <c r="H22" s="81">
        <f t="shared" si="10"/>
        <v>0</v>
      </c>
      <c r="I22" s="82">
        <f t="shared" si="11"/>
        <v>0</v>
      </c>
      <c r="J22" s="210"/>
      <c r="K22" s="250">
        <v>0</v>
      </c>
      <c r="L22" s="225"/>
      <c r="M22" s="213"/>
      <c r="N22" s="197">
        <f t="shared" si="12"/>
        <v>0</v>
      </c>
      <c r="O22" s="198">
        <f t="shared" si="13"/>
        <v>0</v>
      </c>
      <c r="P22" s="83"/>
      <c r="Q22" s="84">
        <v>0</v>
      </c>
      <c r="R22" s="85"/>
      <c r="S22" s="86"/>
      <c r="T22" s="87">
        <f t="shared" si="14"/>
        <v>0</v>
      </c>
      <c r="U22" s="88">
        <f t="shared" si="15"/>
        <v>0</v>
      </c>
      <c r="V22" s="89"/>
      <c r="W22" s="60">
        <v>0</v>
      </c>
      <c r="X22" s="90"/>
      <c r="Y22" s="91"/>
      <c r="Z22" s="92">
        <f t="shared" si="16"/>
        <v>0</v>
      </c>
      <c r="AA22" s="93">
        <f t="shared" si="17"/>
        <v>0</v>
      </c>
      <c r="AB22" s="42">
        <f t="shared" si="4"/>
        <v>0</v>
      </c>
      <c r="AC22" s="188">
        <f t="shared" si="5"/>
        <v>0</v>
      </c>
      <c r="AD22" s="70"/>
      <c r="AE22" s="94"/>
      <c r="AG22" s="219">
        <f t="shared" si="6"/>
        <v>0</v>
      </c>
      <c r="AI22" s="94">
        <f t="shared" si="7"/>
        <v>0</v>
      </c>
      <c r="AK22" s="144">
        <f t="shared" si="8"/>
        <v>0</v>
      </c>
      <c r="AM22" s="144">
        <f t="shared" si="9"/>
        <v>0</v>
      </c>
    </row>
    <row r="23" spans="2:41" ht="15.75" thickBot="1" x14ac:dyDescent="0.3">
      <c r="D23" s="95">
        <f t="shared" ref="D23:I23" si="18">SUM(D8:D22)</f>
        <v>0</v>
      </c>
      <c r="E23" s="96">
        <f t="shared" si="18"/>
        <v>0</v>
      </c>
      <c r="F23" s="95">
        <f t="shared" si="18"/>
        <v>0</v>
      </c>
      <c r="G23" s="97">
        <f t="shared" si="18"/>
        <v>0</v>
      </c>
      <c r="H23" s="98">
        <f t="shared" si="18"/>
        <v>0</v>
      </c>
      <c r="I23" s="99">
        <f t="shared" si="18"/>
        <v>0</v>
      </c>
      <c r="J23" s="214">
        <f t="shared" ref="J23:O23" si="19">SUM(J8:J22)</f>
        <v>0</v>
      </c>
      <c r="K23" s="226">
        <f t="shared" si="19"/>
        <v>0</v>
      </c>
      <c r="L23" s="214">
        <f t="shared" si="19"/>
        <v>0</v>
      </c>
      <c r="M23" s="216">
        <f t="shared" si="19"/>
        <v>0</v>
      </c>
      <c r="N23" s="217">
        <f t="shared" si="19"/>
        <v>0</v>
      </c>
      <c r="O23" s="99">
        <f t="shared" si="19"/>
        <v>0</v>
      </c>
      <c r="P23" s="100">
        <f t="shared" ref="P23:AA23" si="20">SUM(P8:P22)</f>
        <v>0</v>
      </c>
      <c r="Q23" s="101">
        <f t="shared" si="20"/>
        <v>0</v>
      </c>
      <c r="R23" s="100">
        <f t="shared" si="20"/>
        <v>19</v>
      </c>
      <c r="S23" s="102">
        <f t="shared" si="20"/>
        <v>117458</v>
      </c>
      <c r="T23" s="103">
        <f t="shared" si="20"/>
        <v>19</v>
      </c>
      <c r="U23" s="104">
        <f t="shared" si="20"/>
        <v>117458</v>
      </c>
      <c r="V23" s="105">
        <f t="shared" si="20"/>
        <v>0</v>
      </c>
      <c r="W23" s="106">
        <f t="shared" si="20"/>
        <v>0</v>
      </c>
      <c r="X23" s="105">
        <f t="shared" si="20"/>
        <v>16</v>
      </c>
      <c r="Y23" s="107">
        <f t="shared" si="20"/>
        <v>152996</v>
      </c>
      <c r="Z23" s="108">
        <f t="shared" si="20"/>
        <v>16</v>
      </c>
      <c r="AA23" s="104">
        <f t="shared" si="20"/>
        <v>152996</v>
      </c>
      <c r="AB23" s="109" t="s">
        <v>9</v>
      </c>
      <c r="AC23" s="43">
        <f>SUM(AC8:AC22)</f>
        <v>270454</v>
      </c>
      <c r="AD23" s="70"/>
      <c r="AE23" s="1">
        <f>SUM(AE8:AE22)</f>
        <v>8216</v>
      </c>
      <c r="AI23" s="110"/>
      <c r="AK23" s="1">
        <f>SUM(AK8:AK22)</f>
        <v>35</v>
      </c>
      <c r="AM23" s="1">
        <f>SUM(AM8:AM22)</f>
        <v>0</v>
      </c>
      <c r="AO23" s="1">
        <f>+AK23+AM23</f>
        <v>35</v>
      </c>
    </row>
    <row r="24" spans="2:41" x14ac:dyDescent="0.25">
      <c r="G24" s="111"/>
      <c r="H24" s="111"/>
      <c r="I24" s="111"/>
      <c r="M24" s="111"/>
      <c r="N24" s="111"/>
      <c r="O24" s="111"/>
      <c r="P24" s="111"/>
      <c r="Q24" s="111"/>
      <c r="R24" s="112">
        <f>X23+F23+R23+L23</f>
        <v>35</v>
      </c>
      <c r="S24" s="113">
        <f>G23+Y23+S23+M23</f>
        <v>270454</v>
      </c>
      <c r="T24" s="111"/>
      <c r="U24" s="111"/>
      <c r="V24" s="111"/>
      <c r="W24" s="111"/>
      <c r="X24" s="111"/>
      <c r="Y24" s="111"/>
      <c r="Z24" s="111"/>
      <c r="AA24" s="111"/>
      <c r="AB24" s="2"/>
      <c r="AC24" s="70">
        <f>AA23+U23+I23+O23</f>
        <v>270454</v>
      </c>
      <c r="AD24" s="2"/>
    </row>
    <row r="25" spans="2:41" x14ac:dyDescent="0.25">
      <c r="D25" s="114" t="s">
        <v>30</v>
      </c>
      <c r="E25" s="114"/>
      <c r="G25" s="114"/>
      <c r="H25" s="114"/>
      <c r="I25" s="114"/>
      <c r="J25" s="114" t="s">
        <v>30</v>
      </c>
      <c r="K25" s="114"/>
      <c r="M25" s="114"/>
      <c r="N25" s="114"/>
      <c r="O25" s="114"/>
      <c r="P25" s="114"/>
      <c r="Q25" s="114"/>
      <c r="R25" s="114"/>
      <c r="S25" s="114"/>
      <c r="T25" s="114"/>
      <c r="U25" s="114"/>
      <c r="AA25" s="2"/>
      <c r="AB25" s="2"/>
      <c r="AC25" s="2"/>
      <c r="AD25" s="2"/>
    </row>
    <row r="26" spans="2:41" x14ac:dyDescent="0.25">
      <c r="D26" s="114"/>
      <c r="E26" s="114"/>
      <c r="J26" s="114"/>
      <c r="K26" s="114"/>
      <c r="P26" s="1"/>
      <c r="Q26" s="1"/>
      <c r="R26" s="1"/>
      <c r="S26" s="1"/>
      <c r="T26" s="1"/>
      <c r="U26" s="1"/>
      <c r="AA26" s="2"/>
      <c r="AB26" s="2"/>
      <c r="AC26" s="2"/>
      <c r="AD26" s="2"/>
    </row>
    <row r="27" spans="2:41" x14ac:dyDescent="0.25">
      <c r="C27" s="115">
        <v>20000</v>
      </c>
      <c r="D27" s="115"/>
      <c r="E27" s="115"/>
      <c r="F27" s="116"/>
      <c r="G27" s="117"/>
      <c r="H27" s="118"/>
      <c r="I27" s="119"/>
      <c r="J27" s="115"/>
      <c r="K27" s="115"/>
      <c r="L27" s="116"/>
      <c r="M27" s="117"/>
      <c r="N27" s="118"/>
      <c r="O27" s="119"/>
      <c r="P27" s="119"/>
      <c r="Q27" s="119"/>
      <c r="R27" s="119"/>
      <c r="S27" s="119"/>
      <c r="T27" s="119"/>
      <c r="U27" s="119"/>
      <c r="V27" s="119"/>
      <c r="W27" s="119"/>
      <c r="X27" s="120"/>
      <c r="Y27" s="121"/>
      <c r="Z27" s="120"/>
      <c r="AA27" s="119"/>
      <c r="AB27" s="122"/>
      <c r="AC27" s="122"/>
      <c r="AD27" s="2"/>
      <c r="AE27" s="2"/>
      <c r="AF27" s="2"/>
    </row>
    <row r="28" spans="2:41" x14ac:dyDescent="0.25">
      <c r="C28" s="115">
        <v>10000</v>
      </c>
      <c r="D28" s="115"/>
      <c r="E28" s="115"/>
      <c r="F28" s="116"/>
      <c r="G28" s="117"/>
      <c r="H28" s="118"/>
      <c r="I28" s="119"/>
      <c r="J28" s="115"/>
      <c r="K28" s="115"/>
      <c r="L28" s="116"/>
      <c r="M28" s="117"/>
      <c r="N28" s="118"/>
      <c r="O28" s="119"/>
      <c r="P28" s="119"/>
      <c r="Q28" s="119"/>
      <c r="R28" s="119"/>
      <c r="S28" s="119"/>
      <c r="T28" s="119"/>
      <c r="U28" s="119"/>
      <c r="V28" s="119"/>
      <c r="W28" s="119"/>
      <c r="X28" s="120"/>
      <c r="Y28" s="122"/>
      <c r="Z28" s="120"/>
      <c r="AA28" s="119"/>
      <c r="AB28" s="122"/>
      <c r="AC28" s="122"/>
      <c r="AD28" s="2"/>
      <c r="AE28" s="2"/>
      <c r="AF28" s="2"/>
    </row>
    <row r="29" spans="2:41" x14ac:dyDescent="0.25">
      <c r="C29" s="115">
        <v>5000</v>
      </c>
      <c r="D29" s="115"/>
      <c r="E29" s="115"/>
      <c r="F29" s="116"/>
      <c r="G29" s="117"/>
      <c r="H29" s="118"/>
      <c r="I29" s="119"/>
      <c r="J29" s="115"/>
      <c r="K29" s="115"/>
      <c r="L29" s="116"/>
      <c r="M29" s="117"/>
      <c r="N29" s="118"/>
      <c r="O29" s="119"/>
      <c r="P29" s="119"/>
      <c r="Q29" s="119"/>
      <c r="R29" s="119"/>
      <c r="S29" s="119"/>
      <c r="T29" s="119"/>
      <c r="U29" s="119"/>
      <c r="V29" s="119"/>
      <c r="W29" s="119"/>
      <c r="X29" s="120"/>
      <c r="Y29" s="121"/>
      <c r="Z29" s="120"/>
      <c r="AA29" s="119"/>
      <c r="AB29" s="122"/>
      <c r="AC29" s="122"/>
      <c r="AD29" s="2"/>
      <c r="AE29" s="2"/>
      <c r="AF29" s="2"/>
    </row>
    <row r="30" spans="2:41" x14ac:dyDescent="0.25">
      <c r="C30" s="115">
        <v>2000</v>
      </c>
      <c r="D30" s="115"/>
      <c r="E30" s="115"/>
      <c r="F30" s="116"/>
      <c r="G30" s="117"/>
      <c r="H30" s="118"/>
      <c r="I30" s="119"/>
      <c r="J30" s="115"/>
      <c r="K30" s="115"/>
      <c r="L30" s="116"/>
      <c r="M30" s="117"/>
      <c r="N30" s="118"/>
      <c r="O30" s="119"/>
      <c r="P30" s="119"/>
      <c r="Q30" s="119"/>
      <c r="R30" s="119"/>
      <c r="S30" s="119"/>
      <c r="T30" s="119"/>
      <c r="U30" s="119"/>
      <c r="V30" s="119"/>
      <c r="W30" s="119"/>
      <c r="X30" s="120"/>
      <c r="Y30" s="121"/>
      <c r="Z30" s="120"/>
      <c r="AA30" s="119"/>
      <c r="AB30" s="122"/>
      <c r="AC30" s="122"/>
      <c r="AD30" s="123"/>
    </row>
    <row r="31" spans="2:41" x14ac:dyDescent="0.25">
      <c r="C31" s="115">
        <v>1000</v>
      </c>
      <c r="D31" s="115"/>
      <c r="E31" s="115"/>
      <c r="F31" s="116"/>
      <c r="G31" s="117"/>
      <c r="H31" s="118"/>
      <c r="I31" s="124"/>
      <c r="J31" s="115"/>
      <c r="K31" s="115"/>
      <c r="L31" s="116"/>
      <c r="M31" s="117"/>
      <c r="N31" s="118"/>
      <c r="O31" s="124"/>
      <c r="P31" s="124"/>
      <c r="Q31" s="124"/>
      <c r="R31" s="124"/>
      <c r="S31" s="124"/>
      <c r="T31" s="124"/>
      <c r="U31" s="124"/>
      <c r="V31" s="124"/>
      <c r="W31" s="124"/>
      <c r="X31" s="120"/>
      <c r="Y31" s="121"/>
      <c r="Z31" s="120"/>
      <c r="AA31" s="124"/>
      <c r="AB31" s="122"/>
      <c r="AC31" s="122"/>
      <c r="AD31" s="2"/>
    </row>
    <row r="32" spans="2:41" x14ac:dyDescent="0.25">
      <c r="C32" s="115">
        <v>500</v>
      </c>
      <c r="D32" s="115"/>
      <c r="E32" s="115"/>
      <c r="F32" s="116"/>
      <c r="G32" s="117"/>
      <c r="H32" s="118"/>
      <c r="I32" s="119"/>
      <c r="J32" s="115"/>
      <c r="K32" s="115"/>
      <c r="L32" s="116"/>
      <c r="M32" s="117"/>
      <c r="N32" s="118"/>
      <c r="O32" s="119"/>
      <c r="P32" s="119"/>
      <c r="Q32" s="119"/>
      <c r="R32" s="119"/>
      <c r="S32" s="119"/>
      <c r="T32" s="119"/>
      <c r="U32" s="119"/>
      <c r="V32" s="119"/>
      <c r="W32" s="119"/>
      <c r="X32" s="120"/>
      <c r="Y32" s="121"/>
      <c r="Z32" s="120"/>
      <c r="AA32" s="119"/>
      <c r="AB32" s="121"/>
      <c r="AC32" s="121"/>
      <c r="AD32" s="2"/>
    </row>
    <row r="33" spans="2:33" x14ac:dyDescent="0.25">
      <c r="C33" s="115">
        <v>100</v>
      </c>
      <c r="D33" s="115"/>
      <c r="E33" s="115"/>
      <c r="F33" s="116"/>
      <c r="G33" s="117"/>
      <c r="H33" s="118"/>
      <c r="I33" s="124"/>
      <c r="J33" s="115"/>
      <c r="K33" s="115"/>
      <c r="L33" s="116"/>
      <c r="M33" s="117"/>
      <c r="N33" s="118"/>
      <c r="O33" s="119"/>
      <c r="P33" s="119"/>
      <c r="Q33" s="119"/>
      <c r="R33" s="119"/>
      <c r="S33" s="119"/>
      <c r="T33" s="119"/>
      <c r="U33" s="119"/>
      <c r="V33" s="119"/>
      <c r="W33" s="119"/>
      <c r="X33" s="120"/>
      <c r="Y33" s="121"/>
      <c r="Z33" s="120"/>
      <c r="AA33" s="119"/>
      <c r="AB33" s="121"/>
      <c r="AC33" s="121"/>
      <c r="AD33" s="2"/>
    </row>
    <row r="34" spans="2:33" x14ac:dyDescent="0.25">
      <c r="C34" s="115">
        <v>50</v>
      </c>
      <c r="D34" s="115"/>
      <c r="E34" s="115"/>
      <c r="F34" s="116"/>
      <c r="G34" s="117"/>
      <c r="H34" s="118"/>
      <c r="I34" s="119"/>
      <c r="J34" s="115"/>
      <c r="K34" s="115"/>
      <c r="L34" s="116"/>
      <c r="M34" s="117"/>
      <c r="N34" s="118"/>
      <c r="O34" s="119"/>
      <c r="P34" s="119"/>
      <c r="Q34" s="119"/>
      <c r="R34" s="119"/>
      <c r="S34" s="119"/>
      <c r="T34" s="119"/>
      <c r="U34" s="119"/>
      <c r="V34" s="119"/>
      <c r="W34" s="119"/>
      <c r="X34" s="120"/>
      <c r="Y34" s="121"/>
      <c r="Z34" s="120"/>
      <c r="AA34" s="119"/>
      <c r="AB34" s="121"/>
      <c r="AC34" s="121"/>
      <c r="AD34" s="2"/>
    </row>
    <row r="35" spans="2:33" x14ac:dyDescent="0.25">
      <c r="C35" s="115">
        <v>10</v>
      </c>
      <c r="D35" s="115"/>
      <c r="E35" s="115"/>
      <c r="F35" s="116"/>
      <c r="G35" s="117"/>
      <c r="H35" s="118"/>
      <c r="I35" s="119"/>
      <c r="J35" s="115"/>
      <c r="K35" s="115"/>
      <c r="L35" s="116"/>
      <c r="M35" s="117"/>
      <c r="N35" s="118"/>
      <c r="O35" s="119"/>
      <c r="P35" s="119"/>
      <c r="Q35" s="119"/>
      <c r="R35" s="119"/>
      <c r="S35" s="119"/>
      <c r="T35" s="119"/>
      <c r="U35" s="119">
        <v>117458</v>
      </c>
      <c r="V35" s="119"/>
      <c r="W35" s="119"/>
      <c r="X35" s="120"/>
      <c r="Y35" s="121"/>
      <c r="Z35" s="120"/>
      <c r="AA35" s="119">
        <v>106228</v>
      </c>
      <c r="AB35" s="121"/>
      <c r="AC35" s="121"/>
      <c r="AD35" s="2"/>
      <c r="AG35" s="1" t="s">
        <v>25</v>
      </c>
    </row>
    <row r="36" spans="2:33" x14ac:dyDescent="0.25">
      <c r="C36" s="1" t="s">
        <v>32</v>
      </c>
      <c r="E36" s="131"/>
      <c r="G36" s="125"/>
      <c r="H36" s="118"/>
      <c r="I36" s="124"/>
      <c r="K36" s="131"/>
      <c r="M36" s="125"/>
      <c r="N36" s="118"/>
      <c r="O36" s="124"/>
      <c r="P36" s="124"/>
      <c r="Q36" s="124"/>
      <c r="R36" s="124"/>
      <c r="S36" s="124"/>
      <c r="T36" s="124"/>
      <c r="U36" s="117"/>
      <c r="V36" s="124"/>
      <c r="W36" s="124"/>
      <c r="X36" s="120"/>
      <c r="Y36" s="124"/>
      <c r="Z36" s="120"/>
      <c r="AA36" s="124">
        <v>46768</v>
      </c>
      <c r="AB36" s="124"/>
      <c r="AC36" s="124"/>
      <c r="AD36" s="2"/>
    </row>
    <row r="37" spans="2:33" s="114" customFormat="1" ht="15.75" x14ac:dyDescent="0.25">
      <c r="F37" s="126"/>
      <c r="G37" s="127"/>
      <c r="I37" s="128">
        <f>SUM(I27:I36)</f>
        <v>0</v>
      </c>
      <c r="L37" s="126"/>
      <c r="M37" s="127"/>
      <c r="O37" s="128">
        <f>SUM(O27:O36)</f>
        <v>0</v>
      </c>
      <c r="P37" s="116"/>
      <c r="Q37" s="116"/>
      <c r="R37" s="116"/>
      <c r="S37" s="116"/>
      <c r="T37" s="116"/>
      <c r="U37" s="128">
        <f>SUM(U27:U36)</f>
        <v>117458</v>
      </c>
      <c r="V37" s="116"/>
      <c r="W37" s="116"/>
      <c r="X37" s="123"/>
      <c r="Y37" s="116"/>
      <c r="Z37" s="123"/>
      <c r="AA37" s="128">
        <f>SUM(AA27:AA36)</f>
        <v>152996</v>
      </c>
      <c r="AB37" s="129"/>
      <c r="AC37" s="125">
        <f>+I37+U37+AA37+O37</f>
        <v>270454</v>
      </c>
    </row>
    <row r="38" spans="2:33" x14ac:dyDescent="0.25">
      <c r="B38" s="2"/>
      <c r="C38" s="2"/>
      <c r="D38" s="2"/>
      <c r="E38" s="70"/>
      <c r="F38" s="2"/>
      <c r="G38" s="2"/>
      <c r="H38" s="2"/>
      <c r="I38" s="2"/>
      <c r="J38" s="2"/>
      <c r="K38" s="70"/>
      <c r="L38" s="2"/>
      <c r="M38" s="2"/>
      <c r="N38" s="2"/>
      <c r="O38" s="2"/>
      <c r="X38" s="70"/>
      <c r="AA38" s="2"/>
      <c r="AB38" s="130"/>
      <c r="AC38" s="131">
        <f>AC37-AC24</f>
        <v>0</v>
      </c>
    </row>
    <row r="39" spans="2:33" x14ac:dyDescent="0.25">
      <c r="B39" s="2"/>
      <c r="C39" s="2"/>
      <c r="D39" s="2"/>
      <c r="E39" s="70"/>
      <c r="F39" s="2"/>
      <c r="G39" s="2"/>
      <c r="H39" s="2"/>
      <c r="I39" s="129"/>
      <c r="J39" s="2"/>
      <c r="K39" s="70"/>
      <c r="L39" s="2"/>
      <c r="M39" s="2"/>
      <c r="N39" s="2"/>
      <c r="O39" s="129"/>
      <c r="P39" s="2" t="s">
        <v>38</v>
      </c>
      <c r="U39" s="129"/>
      <c r="X39" s="70"/>
      <c r="AA39" s="2"/>
      <c r="AB39" s="130"/>
      <c r="AC39" s="131"/>
    </row>
    <row r="40" spans="2:33" x14ac:dyDescent="0.25">
      <c r="E40" s="110"/>
      <c r="Q40" s="133"/>
      <c r="Y40" s="1"/>
      <c r="Z40" s="1"/>
    </row>
    <row r="41" spans="2:33" x14ac:dyDescent="0.25">
      <c r="S41" s="129"/>
      <c r="T41" s="129"/>
      <c r="U41" s="129"/>
      <c r="W41" s="130"/>
    </row>
  </sheetData>
  <mergeCells count="11">
    <mergeCell ref="Q3:T3"/>
    <mergeCell ref="C4:D4"/>
    <mergeCell ref="V6:AA6"/>
    <mergeCell ref="AB6:AB7"/>
    <mergeCell ref="AC6:AC7"/>
    <mergeCell ref="AE6:AE7"/>
    <mergeCell ref="B6:B7"/>
    <mergeCell ref="C6:C7"/>
    <mergeCell ref="D6:I6"/>
    <mergeCell ref="J6:O6"/>
    <mergeCell ref="P6:U6"/>
  </mergeCells>
  <pageMargins left="0.39370078740157483" right="0.39370078740157483" top="0.19685039370078741" bottom="0.19685039370078741" header="0" footer="0"/>
  <pageSetup paperSize="9" orientation="landscape" horizontalDpi="0" verticalDpi="0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5">
    <pageSetUpPr fitToPage="1"/>
  </sheetPr>
  <dimension ref="A1:AO41"/>
  <sheetViews>
    <sheetView workbookViewId="0">
      <pane xSplit="3" topLeftCell="J1" activePane="topRight" state="frozen"/>
      <selection activeCell="M17" sqref="M17"/>
      <selection pane="topRight" activeCell="AF39" sqref="B2:AF39"/>
    </sheetView>
  </sheetViews>
  <sheetFormatPr baseColWidth="10" defaultRowHeight="15" x14ac:dyDescent="0.25"/>
  <cols>
    <col min="1" max="1" width="1.7109375" style="1" customWidth="1"/>
    <col min="2" max="2" width="10" style="1" customWidth="1"/>
    <col min="3" max="3" width="29.140625" style="1" customWidth="1"/>
    <col min="4" max="4" width="5.7109375" style="1" hidden="1" customWidth="1"/>
    <col min="5" max="5" width="10.7109375" style="1" hidden="1" customWidth="1"/>
    <col min="6" max="6" width="5.7109375" style="1" hidden="1" customWidth="1"/>
    <col min="7" max="7" width="10.7109375" style="1" hidden="1" customWidth="1"/>
    <col min="8" max="8" width="5.7109375" style="1" hidden="1" customWidth="1"/>
    <col min="9" max="9" width="10.7109375" style="1" hidden="1" customWidth="1"/>
    <col min="10" max="10" width="5.7109375" style="1" customWidth="1"/>
    <col min="11" max="11" width="10.7109375" style="1" customWidth="1"/>
    <col min="12" max="12" width="5.7109375" style="1" customWidth="1"/>
    <col min="13" max="13" width="10.7109375" style="1" customWidth="1"/>
    <col min="14" max="14" width="5.7109375" style="1" customWidth="1"/>
    <col min="15" max="15" width="10.7109375" style="1" customWidth="1"/>
    <col min="16" max="16" width="5.7109375" style="2" customWidth="1"/>
    <col min="17" max="17" width="10.7109375" style="2" customWidth="1"/>
    <col min="18" max="18" width="5.7109375" style="2" customWidth="1"/>
    <col min="19" max="19" width="10.7109375" style="2" customWidth="1"/>
    <col min="20" max="20" width="5.7109375" style="2" customWidth="1"/>
    <col min="21" max="21" width="10.7109375" style="2" customWidth="1"/>
    <col min="22" max="22" width="5.7109375" style="2" hidden="1" customWidth="1"/>
    <col min="23" max="23" width="10.7109375" style="2" hidden="1" customWidth="1"/>
    <col min="24" max="24" width="5.7109375" style="2" hidden="1" customWidth="1"/>
    <col min="25" max="25" width="10.7109375" style="2" hidden="1" customWidth="1"/>
    <col min="26" max="26" width="5.7109375" style="2" hidden="1" customWidth="1"/>
    <col min="27" max="27" width="10.7109375" style="1" hidden="1" customWidth="1"/>
    <col min="28" max="28" width="9.5703125" style="1" customWidth="1"/>
    <col min="29" max="29" width="14.5703125" style="1" bestFit="1" customWidth="1"/>
    <col min="30" max="30" width="3.28515625" style="1" customWidth="1"/>
    <col min="31" max="31" width="11.42578125" style="1"/>
    <col min="32" max="32" width="3.7109375" style="1" customWidth="1"/>
    <col min="33" max="33" width="10.140625" style="1" customWidth="1"/>
    <col min="34" max="34" width="3.7109375" style="1" customWidth="1"/>
    <col min="35" max="35" width="11.42578125" style="1"/>
    <col min="36" max="36" width="3.7109375" style="1" customWidth="1"/>
    <col min="37" max="37" width="5.7109375" style="1" customWidth="1"/>
    <col min="38" max="38" width="3.7109375" style="1" customWidth="1"/>
    <col min="39" max="39" width="5.7109375" style="1" customWidth="1"/>
    <col min="40" max="40" width="3.7109375" style="1" customWidth="1"/>
    <col min="41" max="41" width="5.7109375" style="1" customWidth="1"/>
    <col min="42" max="16384" width="11.42578125" style="1"/>
  </cols>
  <sheetData>
    <row r="1" spans="1:39" ht="5.25" customHeight="1" x14ac:dyDescent="0.25">
      <c r="Y1" s="1"/>
      <c r="Z1" s="1"/>
    </row>
    <row r="2" spans="1:39" ht="21" x14ac:dyDescent="0.35">
      <c r="B2" s="3" t="s">
        <v>0</v>
      </c>
      <c r="P2" s="1"/>
      <c r="Q2" s="4"/>
      <c r="Z2" s="1"/>
    </row>
    <row r="3" spans="1:39" ht="15" customHeight="1" x14ac:dyDescent="0.25">
      <c r="A3" s="5"/>
      <c r="B3" s="6" t="s">
        <v>1</v>
      </c>
      <c r="C3" s="7"/>
      <c r="D3" s="7"/>
      <c r="E3" s="7"/>
      <c r="F3" s="7"/>
      <c r="P3" s="1"/>
      <c r="Q3" s="353"/>
      <c r="R3" s="353"/>
      <c r="S3" s="353"/>
      <c r="T3" s="353"/>
      <c r="U3" s="252"/>
      <c r="V3" s="252"/>
      <c r="Z3" s="1"/>
    </row>
    <row r="4" spans="1:39" ht="18" customHeight="1" x14ac:dyDescent="0.25">
      <c r="B4" s="253" t="s">
        <v>2</v>
      </c>
      <c r="C4" s="354" t="s">
        <v>72</v>
      </c>
      <c r="D4" s="355"/>
      <c r="E4" s="253"/>
      <c r="F4" s="253"/>
      <c r="P4" s="1"/>
      <c r="Q4" s="9"/>
      <c r="R4" s="10"/>
      <c r="S4" s="9"/>
      <c r="T4" s="9"/>
      <c r="U4" s="9"/>
      <c r="V4" s="9"/>
      <c r="Z4" s="1"/>
    </row>
    <row r="5" spans="1:39" ht="15.75" thickBot="1" x14ac:dyDescent="0.3">
      <c r="A5" s="253"/>
      <c r="B5" s="253"/>
      <c r="C5" s="253"/>
      <c r="D5" s="253"/>
      <c r="E5" s="253"/>
      <c r="J5" s="253"/>
      <c r="K5" s="253"/>
      <c r="P5" s="1"/>
      <c r="Q5" s="1"/>
      <c r="R5" s="1"/>
      <c r="S5" s="1"/>
      <c r="T5" s="1"/>
      <c r="U5" s="1"/>
      <c r="V5" s="9"/>
      <c r="W5" s="9"/>
      <c r="X5" s="9"/>
      <c r="Y5" s="9"/>
      <c r="Z5" s="9"/>
      <c r="AA5" s="9"/>
      <c r="AB5" s="2"/>
      <c r="AC5" s="2"/>
      <c r="AD5" s="2"/>
    </row>
    <row r="6" spans="1:39" ht="27.75" customHeight="1" thickBot="1" x14ac:dyDescent="0.3">
      <c r="B6" s="356" t="s">
        <v>3</v>
      </c>
      <c r="C6" s="343" t="s">
        <v>4</v>
      </c>
      <c r="D6" s="358" t="s">
        <v>36</v>
      </c>
      <c r="E6" s="359"/>
      <c r="F6" s="360"/>
      <c r="G6" s="360"/>
      <c r="H6" s="360"/>
      <c r="I6" s="361"/>
      <c r="J6" s="370" t="s">
        <v>42</v>
      </c>
      <c r="K6" s="371"/>
      <c r="L6" s="372"/>
      <c r="M6" s="372"/>
      <c r="N6" s="372"/>
      <c r="O6" s="373"/>
      <c r="P6" s="362" t="s">
        <v>39</v>
      </c>
      <c r="Q6" s="363"/>
      <c r="R6" s="364"/>
      <c r="S6" s="364"/>
      <c r="T6" s="364"/>
      <c r="U6" s="365"/>
      <c r="V6" s="366" t="s">
        <v>31</v>
      </c>
      <c r="W6" s="367"/>
      <c r="X6" s="368"/>
      <c r="Y6" s="368"/>
      <c r="Z6" s="368"/>
      <c r="AA6" s="369"/>
      <c r="AB6" s="349" t="s">
        <v>5</v>
      </c>
      <c r="AC6" s="349" t="s">
        <v>6</v>
      </c>
      <c r="AD6" s="2"/>
      <c r="AE6" s="351" t="s">
        <v>7</v>
      </c>
      <c r="AF6" s="2"/>
    </row>
    <row r="7" spans="1:39" ht="25.5" customHeight="1" thickBot="1" x14ac:dyDescent="0.3">
      <c r="B7" s="357"/>
      <c r="C7" s="344"/>
      <c r="D7" s="11" t="s">
        <v>8</v>
      </c>
      <c r="E7" s="12" t="s">
        <v>9</v>
      </c>
      <c r="F7" s="13" t="s">
        <v>8</v>
      </c>
      <c r="G7" s="14" t="s">
        <v>9</v>
      </c>
      <c r="H7" s="11" t="s">
        <v>5</v>
      </c>
      <c r="I7" s="14" t="s">
        <v>10</v>
      </c>
      <c r="J7" s="190" t="s">
        <v>8</v>
      </c>
      <c r="K7" s="192" t="s">
        <v>9</v>
      </c>
      <c r="L7" s="191" t="s">
        <v>8</v>
      </c>
      <c r="M7" s="192" t="s">
        <v>9</v>
      </c>
      <c r="N7" s="190" t="s">
        <v>5</v>
      </c>
      <c r="O7" s="192" t="s">
        <v>10</v>
      </c>
      <c r="P7" s="15" t="s">
        <v>8</v>
      </c>
      <c r="Q7" s="16" t="s">
        <v>9</v>
      </c>
      <c r="R7" s="17" t="s">
        <v>8</v>
      </c>
      <c r="S7" s="16" t="s">
        <v>9</v>
      </c>
      <c r="T7" s="15" t="s">
        <v>5</v>
      </c>
      <c r="U7" s="16" t="s">
        <v>10</v>
      </c>
      <c r="V7" s="18" t="s">
        <v>8</v>
      </c>
      <c r="W7" s="19" t="s">
        <v>9</v>
      </c>
      <c r="X7" s="20" t="s">
        <v>8</v>
      </c>
      <c r="Y7" s="21" t="s">
        <v>9</v>
      </c>
      <c r="Z7" s="18" t="s">
        <v>5</v>
      </c>
      <c r="AA7" s="21" t="s">
        <v>10</v>
      </c>
      <c r="AB7" s="350"/>
      <c r="AC7" s="350"/>
      <c r="AD7" s="2"/>
      <c r="AE7" s="352"/>
      <c r="AG7" s="22" t="s">
        <v>11</v>
      </c>
      <c r="AI7" s="22" t="s">
        <v>12</v>
      </c>
    </row>
    <row r="8" spans="1:39" x14ac:dyDescent="0.25">
      <c r="B8" s="173">
        <v>6320</v>
      </c>
      <c r="C8" s="23" t="s">
        <v>13</v>
      </c>
      <c r="D8" s="24"/>
      <c r="E8" s="25">
        <f>+D8*B8</f>
        <v>0</v>
      </c>
      <c r="F8" s="26"/>
      <c r="G8" s="27"/>
      <c r="H8" s="28">
        <f>D8+F8</f>
        <v>0</v>
      </c>
      <c r="I8" s="29">
        <f>E8+G8</f>
        <v>0</v>
      </c>
      <c r="J8" s="199"/>
      <c r="K8" s="249">
        <f>+J8*B8</f>
        <v>0</v>
      </c>
      <c r="L8" s="222"/>
      <c r="M8" s="202"/>
      <c r="N8" s="193">
        <f>J8+L8</f>
        <v>0</v>
      </c>
      <c r="O8" s="194">
        <f>K8+M8</f>
        <v>0</v>
      </c>
      <c r="P8" s="30"/>
      <c r="Q8" s="31">
        <f>+P8*B8</f>
        <v>0</v>
      </c>
      <c r="R8" s="32"/>
      <c r="S8" s="33"/>
      <c r="T8" s="34">
        <f>P8+R8</f>
        <v>0</v>
      </c>
      <c r="U8" s="35">
        <f>Q8+S8</f>
        <v>0</v>
      </c>
      <c r="V8" s="36"/>
      <c r="W8" s="37">
        <f t="shared" ref="W8:W19" si="0">+V8*B8</f>
        <v>0</v>
      </c>
      <c r="X8" s="38"/>
      <c r="Y8" s="39"/>
      <c r="Z8" s="40">
        <f>V8+X8</f>
        <v>0</v>
      </c>
      <c r="AA8" s="41">
        <f>Y8+W8</f>
        <v>0</v>
      </c>
      <c r="AB8" s="42">
        <f>+D8+F8+P8+R8+V8+X8+J8+L8</f>
        <v>0</v>
      </c>
      <c r="AC8" s="188">
        <f>+E8+G8+Q8+S8+W8+Y8+K8+M8</f>
        <v>0</v>
      </c>
      <c r="AD8" s="44"/>
      <c r="AE8" s="45"/>
      <c r="AG8" s="187">
        <f>E8+W8+Q8+K8</f>
        <v>0</v>
      </c>
      <c r="AI8" s="45">
        <f>G8+Y8+S8+M8</f>
        <v>0</v>
      </c>
      <c r="AK8" s="139">
        <f>F8+R8+X8+L8</f>
        <v>0</v>
      </c>
      <c r="AM8" s="139">
        <f>+D8+P8+V8+J8</f>
        <v>0</v>
      </c>
    </row>
    <row r="9" spans="1:39" x14ac:dyDescent="0.25">
      <c r="B9" s="174">
        <v>6320</v>
      </c>
      <c r="C9" s="180" t="s">
        <v>14</v>
      </c>
      <c r="D9" s="47"/>
      <c r="E9" s="48">
        <f t="shared" ref="E9:E19" si="1">+D9*B9</f>
        <v>0</v>
      </c>
      <c r="F9" s="49"/>
      <c r="G9" s="50"/>
      <c r="H9" s="51">
        <f>D9+F9</f>
        <v>0</v>
      </c>
      <c r="I9" s="52">
        <f>G9+E9</f>
        <v>0</v>
      </c>
      <c r="J9" s="203"/>
      <c r="K9" s="248">
        <f t="shared" ref="K9:K19" si="2">+J9*B9</f>
        <v>0</v>
      </c>
      <c r="L9" s="223">
        <v>4</v>
      </c>
      <c r="M9" s="206">
        <f>6320*4</f>
        <v>25280</v>
      </c>
      <c r="N9" s="195">
        <f>J9+L9</f>
        <v>4</v>
      </c>
      <c r="O9" s="196">
        <f>M9+K9</f>
        <v>25280</v>
      </c>
      <c r="P9" s="53"/>
      <c r="Q9" s="31">
        <f t="shared" ref="Q9:Q19" si="3">+P9*B9</f>
        <v>0</v>
      </c>
      <c r="R9" s="55">
        <v>7</v>
      </c>
      <c r="S9" s="56">
        <f>6320*6+1896</f>
        <v>39816</v>
      </c>
      <c r="T9" s="57">
        <f>P9+R9</f>
        <v>7</v>
      </c>
      <c r="U9" s="58">
        <f>S9+Q9</f>
        <v>39816</v>
      </c>
      <c r="V9" s="59"/>
      <c r="W9" s="60">
        <f t="shared" si="0"/>
        <v>0</v>
      </c>
      <c r="X9" s="61"/>
      <c r="Y9" s="62"/>
      <c r="Z9" s="63">
        <f>V9+X9</f>
        <v>0</v>
      </c>
      <c r="AA9" s="41">
        <f>Y9+W9</f>
        <v>0</v>
      </c>
      <c r="AB9" s="152">
        <f t="shared" ref="AB9:AB22" si="4">+D9+F9+P9+R9+V9+X9+J9+L9</f>
        <v>11</v>
      </c>
      <c r="AC9" s="339">
        <f t="shared" ref="AC9:AC22" si="5">+E9+G9+Q9+S9+W9+Y9+K9+M9</f>
        <v>65096</v>
      </c>
      <c r="AD9" s="44"/>
      <c r="AE9" s="151">
        <v>4424</v>
      </c>
      <c r="AG9" s="251">
        <f t="shared" ref="AG9:AG22" si="6">E9+W9+Q9+K9</f>
        <v>0</v>
      </c>
      <c r="AI9" s="151">
        <f t="shared" ref="AI9:AI22" si="7">G9+Y9+S9+M9</f>
        <v>65096</v>
      </c>
      <c r="AK9" s="142">
        <f t="shared" ref="AK9:AK22" si="8">F9+R9+X9+L9</f>
        <v>11</v>
      </c>
      <c r="AM9" s="142">
        <f t="shared" ref="AM9:AM22" si="9">+D9+P9+V9+J9</f>
        <v>0</v>
      </c>
    </row>
    <row r="10" spans="1:39" x14ac:dyDescent="0.25">
      <c r="B10" s="174">
        <v>6320</v>
      </c>
      <c r="C10" s="46" t="s">
        <v>16</v>
      </c>
      <c r="D10" s="47"/>
      <c r="E10" s="48">
        <f t="shared" si="1"/>
        <v>0</v>
      </c>
      <c r="F10" s="49"/>
      <c r="G10" s="50"/>
      <c r="H10" s="51">
        <f t="shared" ref="H10:H22" si="10">D10+F10</f>
        <v>0</v>
      </c>
      <c r="I10" s="52">
        <f t="shared" ref="I10:I22" si="11">G10+E10</f>
        <v>0</v>
      </c>
      <c r="J10" s="203"/>
      <c r="K10" s="248">
        <f t="shared" si="2"/>
        <v>0</v>
      </c>
      <c r="L10" s="223"/>
      <c r="M10" s="206"/>
      <c r="N10" s="195">
        <f t="shared" ref="N10:N22" si="12">J10+L10</f>
        <v>0</v>
      </c>
      <c r="O10" s="196">
        <f t="shared" ref="O10:O22" si="13">M10+K10</f>
        <v>0</v>
      </c>
      <c r="P10" s="53"/>
      <c r="Q10" s="31">
        <f t="shared" si="3"/>
        <v>0</v>
      </c>
      <c r="R10" s="55"/>
      <c r="S10" s="56"/>
      <c r="T10" s="57">
        <f t="shared" ref="T10:T22" si="14">P10+R10</f>
        <v>0</v>
      </c>
      <c r="U10" s="58">
        <f t="shared" ref="U10:U22" si="15">S10+Q10</f>
        <v>0</v>
      </c>
      <c r="V10" s="59"/>
      <c r="W10" s="60">
        <f t="shared" si="0"/>
        <v>0</v>
      </c>
      <c r="X10" s="61"/>
      <c r="Y10" s="62"/>
      <c r="Z10" s="63">
        <f t="shared" ref="Z10:Z22" si="16">V10+X10</f>
        <v>0</v>
      </c>
      <c r="AA10" s="41">
        <f t="shared" ref="AA10:AA22" si="17">Y10+W10</f>
        <v>0</v>
      </c>
      <c r="AB10" s="42">
        <f t="shared" si="4"/>
        <v>0</v>
      </c>
      <c r="AC10" s="188">
        <f t="shared" si="5"/>
        <v>0</v>
      </c>
      <c r="AD10" s="44"/>
      <c r="AE10" s="64"/>
      <c r="AG10" s="218">
        <f t="shared" si="6"/>
        <v>0</v>
      </c>
      <c r="AI10" s="64">
        <f t="shared" si="7"/>
        <v>0</v>
      </c>
      <c r="AK10" s="142">
        <f t="shared" si="8"/>
        <v>0</v>
      </c>
      <c r="AM10" s="142">
        <f t="shared" si="9"/>
        <v>0</v>
      </c>
    </row>
    <row r="11" spans="1:39" x14ac:dyDescent="0.25">
      <c r="B11" s="174">
        <v>6320</v>
      </c>
      <c r="C11" s="153" t="s">
        <v>17</v>
      </c>
      <c r="D11" s="65"/>
      <c r="E11" s="48">
        <f t="shared" si="1"/>
        <v>0</v>
      </c>
      <c r="F11" s="254"/>
      <c r="G11" s="50"/>
      <c r="H11" s="51">
        <f t="shared" si="10"/>
        <v>0</v>
      </c>
      <c r="I11" s="52">
        <f t="shared" si="11"/>
        <v>0</v>
      </c>
      <c r="J11" s="207"/>
      <c r="K11" s="248">
        <f t="shared" si="2"/>
        <v>0</v>
      </c>
      <c r="L11" s="223">
        <v>6</v>
      </c>
      <c r="M11" s="206">
        <f>6320*6</f>
        <v>37920</v>
      </c>
      <c r="N11" s="195">
        <f t="shared" si="12"/>
        <v>6</v>
      </c>
      <c r="O11" s="196">
        <f t="shared" si="13"/>
        <v>37920</v>
      </c>
      <c r="P11" s="66"/>
      <c r="Q11" s="31">
        <f t="shared" si="3"/>
        <v>0</v>
      </c>
      <c r="R11" s="67">
        <v>10</v>
      </c>
      <c r="S11" s="56">
        <f>6320*10</f>
        <v>63200</v>
      </c>
      <c r="T11" s="57">
        <f t="shared" si="14"/>
        <v>10</v>
      </c>
      <c r="U11" s="58">
        <f t="shared" si="15"/>
        <v>63200</v>
      </c>
      <c r="V11" s="68"/>
      <c r="W11" s="60">
        <f t="shared" si="0"/>
        <v>0</v>
      </c>
      <c r="X11" s="69"/>
      <c r="Y11" s="62"/>
      <c r="Z11" s="63">
        <f t="shared" si="16"/>
        <v>0</v>
      </c>
      <c r="AA11" s="41">
        <f t="shared" si="17"/>
        <v>0</v>
      </c>
      <c r="AB11" s="152">
        <f t="shared" si="4"/>
        <v>16</v>
      </c>
      <c r="AC11" s="220">
        <f t="shared" si="5"/>
        <v>101120</v>
      </c>
      <c r="AD11" s="70"/>
      <c r="AE11" s="64"/>
      <c r="AG11" s="218">
        <f t="shared" si="6"/>
        <v>0</v>
      </c>
      <c r="AI11" s="151">
        <f t="shared" si="7"/>
        <v>101120</v>
      </c>
      <c r="AK11" s="142">
        <f t="shared" si="8"/>
        <v>16</v>
      </c>
      <c r="AM11" s="142">
        <f t="shared" si="9"/>
        <v>0</v>
      </c>
    </row>
    <row r="12" spans="1:39" x14ac:dyDescent="0.25">
      <c r="B12" s="174">
        <v>6320</v>
      </c>
      <c r="C12" s="46" t="s">
        <v>18</v>
      </c>
      <c r="D12" s="65"/>
      <c r="E12" s="48">
        <f t="shared" si="1"/>
        <v>0</v>
      </c>
      <c r="F12" s="254"/>
      <c r="G12" s="50"/>
      <c r="H12" s="51">
        <f t="shared" si="10"/>
        <v>0</v>
      </c>
      <c r="I12" s="52">
        <f t="shared" si="11"/>
        <v>0</v>
      </c>
      <c r="J12" s="207"/>
      <c r="K12" s="248">
        <f t="shared" si="2"/>
        <v>0</v>
      </c>
      <c r="L12" s="223"/>
      <c r="M12" s="206"/>
      <c r="N12" s="195">
        <f t="shared" si="12"/>
        <v>0</v>
      </c>
      <c r="O12" s="196">
        <f t="shared" si="13"/>
        <v>0</v>
      </c>
      <c r="P12" s="66"/>
      <c r="Q12" s="31">
        <f t="shared" si="3"/>
        <v>0</v>
      </c>
      <c r="R12" s="67"/>
      <c r="S12" s="56"/>
      <c r="T12" s="57">
        <f t="shared" si="14"/>
        <v>0</v>
      </c>
      <c r="U12" s="58">
        <f t="shared" si="15"/>
        <v>0</v>
      </c>
      <c r="V12" s="68"/>
      <c r="W12" s="60">
        <f t="shared" si="0"/>
        <v>0</v>
      </c>
      <c r="X12" s="69"/>
      <c r="Y12" s="62"/>
      <c r="Z12" s="63">
        <f t="shared" si="16"/>
        <v>0</v>
      </c>
      <c r="AA12" s="41">
        <f t="shared" si="17"/>
        <v>0</v>
      </c>
      <c r="AB12" s="42">
        <f t="shared" si="4"/>
        <v>0</v>
      </c>
      <c r="AC12" s="188">
        <f t="shared" si="5"/>
        <v>0</v>
      </c>
      <c r="AD12" s="71"/>
      <c r="AE12" s="64"/>
      <c r="AG12" s="218">
        <f t="shared" si="6"/>
        <v>0</v>
      </c>
      <c r="AI12" s="64">
        <f t="shared" si="7"/>
        <v>0</v>
      </c>
      <c r="AK12" s="142">
        <f t="shared" si="8"/>
        <v>0</v>
      </c>
      <c r="AM12" s="142">
        <f t="shared" si="9"/>
        <v>0</v>
      </c>
    </row>
    <row r="13" spans="1:39" x14ac:dyDescent="0.25">
      <c r="B13" s="174">
        <v>6320</v>
      </c>
      <c r="C13" s="46" t="s">
        <v>19</v>
      </c>
      <c r="D13" s="65"/>
      <c r="E13" s="48">
        <f t="shared" si="1"/>
        <v>0</v>
      </c>
      <c r="F13" s="254"/>
      <c r="G13" s="50"/>
      <c r="H13" s="51">
        <f t="shared" si="10"/>
        <v>0</v>
      </c>
      <c r="I13" s="52">
        <f t="shared" si="11"/>
        <v>0</v>
      </c>
      <c r="J13" s="207"/>
      <c r="K13" s="248">
        <f t="shared" si="2"/>
        <v>0</v>
      </c>
      <c r="L13" s="223"/>
      <c r="M13" s="206"/>
      <c r="N13" s="195">
        <f t="shared" si="12"/>
        <v>0</v>
      </c>
      <c r="O13" s="196">
        <f t="shared" si="13"/>
        <v>0</v>
      </c>
      <c r="P13" s="66"/>
      <c r="Q13" s="31">
        <f t="shared" si="3"/>
        <v>0</v>
      </c>
      <c r="R13" s="67"/>
      <c r="S13" s="56"/>
      <c r="T13" s="57">
        <f t="shared" si="14"/>
        <v>0</v>
      </c>
      <c r="U13" s="58">
        <f t="shared" si="15"/>
        <v>0</v>
      </c>
      <c r="V13" s="68"/>
      <c r="W13" s="60">
        <f t="shared" si="0"/>
        <v>0</v>
      </c>
      <c r="X13" s="69"/>
      <c r="Y13" s="62"/>
      <c r="Z13" s="63">
        <f t="shared" si="16"/>
        <v>0</v>
      </c>
      <c r="AA13" s="41">
        <f t="shared" si="17"/>
        <v>0</v>
      </c>
      <c r="AB13" s="42">
        <f t="shared" si="4"/>
        <v>0</v>
      </c>
      <c r="AC13" s="188">
        <f t="shared" si="5"/>
        <v>0</v>
      </c>
      <c r="AD13" s="70"/>
      <c r="AE13" s="64"/>
      <c r="AG13" s="218">
        <f t="shared" si="6"/>
        <v>0</v>
      </c>
      <c r="AI13" s="64">
        <f t="shared" si="7"/>
        <v>0</v>
      </c>
      <c r="AK13" s="142">
        <f t="shared" si="8"/>
        <v>0</v>
      </c>
      <c r="AM13" s="142">
        <f t="shared" si="9"/>
        <v>0</v>
      </c>
    </row>
    <row r="14" spans="1:39" x14ac:dyDescent="0.25">
      <c r="B14" s="174">
        <v>6320</v>
      </c>
      <c r="C14" s="46" t="s">
        <v>20</v>
      </c>
      <c r="D14" s="65"/>
      <c r="E14" s="48">
        <f t="shared" si="1"/>
        <v>0</v>
      </c>
      <c r="F14" s="254"/>
      <c r="G14" s="50"/>
      <c r="H14" s="51">
        <f t="shared" si="10"/>
        <v>0</v>
      </c>
      <c r="I14" s="52">
        <f t="shared" si="11"/>
        <v>0</v>
      </c>
      <c r="J14" s="207"/>
      <c r="K14" s="248">
        <f t="shared" si="2"/>
        <v>0</v>
      </c>
      <c r="L14" s="223"/>
      <c r="M14" s="206"/>
      <c r="N14" s="195">
        <f t="shared" si="12"/>
        <v>0</v>
      </c>
      <c r="O14" s="196">
        <f t="shared" si="13"/>
        <v>0</v>
      </c>
      <c r="P14" s="66"/>
      <c r="Q14" s="31">
        <f t="shared" si="3"/>
        <v>0</v>
      </c>
      <c r="R14" s="67"/>
      <c r="S14" s="56"/>
      <c r="T14" s="57">
        <f t="shared" si="14"/>
        <v>0</v>
      </c>
      <c r="U14" s="58">
        <f t="shared" si="15"/>
        <v>0</v>
      </c>
      <c r="V14" s="68"/>
      <c r="W14" s="60">
        <f t="shared" si="0"/>
        <v>0</v>
      </c>
      <c r="X14" s="69"/>
      <c r="Y14" s="62"/>
      <c r="Z14" s="63">
        <f t="shared" si="16"/>
        <v>0</v>
      </c>
      <c r="AA14" s="41">
        <f t="shared" si="17"/>
        <v>0</v>
      </c>
      <c r="AB14" s="42">
        <f t="shared" si="4"/>
        <v>0</v>
      </c>
      <c r="AC14" s="188">
        <f t="shared" si="5"/>
        <v>0</v>
      </c>
      <c r="AD14" s="70"/>
      <c r="AE14" s="64"/>
      <c r="AG14" s="218">
        <f t="shared" si="6"/>
        <v>0</v>
      </c>
      <c r="AI14" s="64">
        <f t="shared" si="7"/>
        <v>0</v>
      </c>
      <c r="AK14" s="142">
        <f t="shared" si="8"/>
        <v>0</v>
      </c>
      <c r="AM14" s="142">
        <f t="shared" si="9"/>
        <v>0</v>
      </c>
    </row>
    <row r="15" spans="1:39" x14ac:dyDescent="0.25">
      <c r="B15" s="174">
        <v>6320</v>
      </c>
      <c r="C15" s="46" t="s">
        <v>21</v>
      </c>
      <c r="D15" s="65"/>
      <c r="E15" s="48">
        <f t="shared" si="1"/>
        <v>0</v>
      </c>
      <c r="F15" s="254"/>
      <c r="G15" s="50"/>
      <c r="H15" s="51">
        <f t="shared" si="10"/>
        <v>0</v>
      </c>
      <c r="I15" s="52">
        <f t="shared" si="11"/>
        <v>0</v>
      </c>
      <c r="J15" s="207"/>
      <c r="K15" s="248">
        <f t="shared" si="2"/>
        <v>0</v>
      </c>
      <c r="L15" s="223"/>
      <c r="M15" s="206"/>
      <c r="N15" s="195">
        <f t="shared" si="12"/>
        <v>0</v>
      </c>
      <c r="O15" s="196">
        <f t="shared" si="13"/>
        <v>0</v>
      </c>
      <c r="P15" s="66"/>
      <c r="Q15" s="31">
        <f t="shared" si="3"/>
        <v>0</v>
      </c>
      <c r="R15" s="67"/>
      <c r="S15" s="56"/>
      <c r="T15" s="57">
        <f t="shared" si="14"/>
        <v>0</v>
      </c>
      <c r="U15" s="58">
        <f t="shared" si="15"/>
        <v>0</v>
      </c>
      <c r="V15" s="68"/>
      <c r="W15" s="60">
        <f t="shared" si="0"/>
        <v>0</v>
      </c>
      <c r="X15" s="69"/>
      <c r="Y15" s="62"/>
      <c r="Z15" s="63">
        <f t="shared" si="16"/>
        <v>0</v>
      </c>
      <c r="AA15" s="41">
        <f t="shared" si="17"/>
        <v>0</v>
      </c>
      <c r="AB15" s="42">
        <f t="shared" si="4"/>
        <v>0</v>
      </c>
      <c r="AC15" s="188">
        <f t="shared" si="5"/>
        <v>0</v>
      </c>
      <c r="AD15" s="70"/>
      <c r="AE15" s="64"/>
      <c r="AG15" s="218">
        <f t="shared" si="6"/>
        <v>0</v>
      </c>
      <c r="AI15" s="64">
        <f t="shared" si="7"/>
        <v>0</v>
      </c>
      <c r="AK15" s="142">
        <f t="shared" si="8"/>
        <v>0</v>
      </c>
      <c r="AM15" s="142">
        <f t="shared" si="9"/>
        <v>0</v>
      </c>
    </row>
    <row r="16" spans="1:39" x14ac:dyDescent="0.25">
      <c r="B16" s="174" t="s">
        <v>26</v>
      </c>
      <c r="C16" s="46" t="s">
        <v>33</v>
      </c>
      <c r="D16" s="65"/>
      <c r="E16" s="48">
        <v>0</v>
      </c>
      <c r="F16" s="254"/>
      <c r="G16" s="50"/>
      <c r="H16" s="51">
        <f t="shared" si="10"/>
        <v>0</v>
      </c>
      <c r="I16" s="52">
        <f t="shared" si="11"/>
        <v>0</v>
      </c>
      <c r="J16" s="207"/>
      <c r="K16" s="248">
        <v>0</v>
      </c>
      <c r="L16" s="223"/>
      <c r="M16" s="206"/>
      <c r="N16" s="195">
        <f t="shared" si="12"/>
        <v>0</v>
      </c>
      <c r="O16" s="196">
        <f t="shared" si="13"/>
        <v>0</v>
      </c>
      <c r="P16" s="66"/>
      <c r="Q16" s="31">
        <v>0</v>
      </c>
      <c r="R16" s="67"/>
      <c r="S16" s="56"/>
      <c r="T16" s="57">
        <f t="shared" si="14"/>
        <v>0</v>
      </c>
      <c r="U16" s="58">
        <v>0</v>
      </c>
      <c r="V16" s="68"/>
      <c r="W16" s="60">
        <v>0</v>
      </c>
      <c r="X16" s="69"/>
      <c r="Y16" s="62"/>
      <c r="Z16" s="63">
        <f>+X16+V16</f>
        <v>0</v>
      </c>
      <c r="AA16" s="41">
        <f>+Y16+W16</f>
        <v>0</v>
      </c>
      <c r="AB16" s="42">
        <f t="shared" si="4"/>
        <v>0</v>
      </c>
      <c r="AC16" s="188">
        <f t="shared" si="5"/>
        <v>0</v>
      </c>
      <c r="AD16" s="70"/>
      <c r="AE16" s="64"/>
      <c r="AG16" s="218">
        <f t="shared" si="6"/>
        <v>0</v>
      </c>
      <c r="AI16" s="64">
        <f t="shared" si="7"/>
        <v>0</v>
      </c>
      <c r="AK16" s="142">
        <f t="shared" si="8"/>
        <v>0</v>
      </c>
      <c r="AM16" s="142">
        <f t="shared" si="9"/>
        <v>0</v>
      </c>
    </row>
    <row r="17" spans="2:41" x14ac:dyDescent="0.25">
      <c r="B17" s="175">
        <v>14010</v>
      </c>
      <c r="C17" s="46" t="s">
        <v>23</v>
      </c>
      <c r="D17" s="65"/>
      <c r="E17" s="48">
        <f t="shared" si="1"/>
        <v>0</v>
      </c>
      <c r="F17" s="254"/>
      <c r="G17" s="50"/>
      <c r="H17" s="51">
        <f t="shared" si="10"/>
        <v>0</v>
      </c>
      <c r="I17" s="52">
        <f t="shared" si="11"/>
        <v>0</v>
      </c>
      <c r="J17" s="207"/>
      <c r="K17" s="248">
        <f t="shared" si="2"/>
        <v>0</v>
      </c>
      <c r="L17" s="223"/>
      <c r="M17" s="206"/>
      <c r="N17" s="195">
        <f t="shared" si="12"/>
        <v>0</v>
      </c>
      <c r="O17" s="196">
        <f t="shared" si="13"/>
        <v>0</v>
      </c>
      <c r="P17" s="66"/>
      <c r="Q17" s="31">
        <f t="shared" si="3"/>
        <v>0</v>
      </c>
      <c r="R17" s="67"/>
      <c r="S17" s="56"/>
      <c r="T17" s="57">
        <f t="shared" si="14"/>
        <v>0</v>
      </c>
      <c r="U17" s="58">
        <f t="shared" si="15"/>
        <v>0</v>
      </c>
      <c r="V17" s="68"/>
      <c r="W17" s="60">
        <f t="shared" si="0"/>
        <v>0</v>
      </c>
      <c r="X17" s="69"/>
      <c r="Y17" s="62"/>
      <c r="Z17" s="63">
        <f t="shared" si="16"/>
        <v>0</v>
      </c>
      <c r="AA17" s="41">
        <f t="shared" si="17"/>
        <v>0</v>
      </c>
      <c r="AB17" s="42">
        <f t="shared" si="4"/>
        <v>0</v>
      </c>
      <c r="AC17" s="188">
        <f t="shared" si="5"/>
        <v>0</v>
      </c>
      <c r="AD17" s="70"/>
      <c r="AE17" s="64"/>
      <c r="AG17" s="218">
        <f t="shared" si="6"/>
        <v>0</v>
      </c>
      <c r="AI17" s="64">
        <f t="shared" si="7"/>
        <v>0</v>
      </c>
      <c r="AK17" s="142">
        <f t="shared" si="8"/>
        <v>0</v>
      </c>
      <c r="AM17" s="142">
        <f t="shared" si="9"/>
        <v>0</v>
      </c>
    </row>
    <row r="18" spans="2:41" x14ac:dyDescent="0.25">
      <c r="B18" s="174">
        <v>11870</v>
      </c>
      <c r="C18" s="46" t="s">
        <v>24</v>
      </c>
      <c r="D18" s="65"/>
      <c r="E18" s="48">
        <f t="shared" si="1"/>
        <v>0</v>
      </c>
      <c r="F18" s="254"/>
      <c r="G18" s="50"/>
      <c r="H18" s="51">
        <f t="shared" si="10"/>
        <v>0</v>
      </c>
      <c r="I18" s="52">
        <f t="shared" si="11"/>
        <v>0</v>
      </c>
      <c r="J18" s="207"/>
      <c r="K18" s="248">
        <f t="shared" si="2"/>
        <v>0</v>
      </c>
      <c r="L18" s="223"/>
      <c r="M18" s="206"/>
      <c r="N18" s="195">
        <f t="shared" si="12"/>
        <v>0</v>
      </c>
      <c r="O18" s="196">
        <f t="shared" si="13"/>
        <v>0</v>
      </c>
      <c r="P18" s="66"/>
      <c r="Q18" s="31">
        <f t="shared" si="3"/>
        <v>0</v>
      </c>
      <c r="R18" s="67"/>
      <c r="S18" s="56"/>
      <c r="T18" s="57">
        <f t="shared" si="14"/>
        <v>0</v>
      </c>
      <c r="U18" s="58">
        <f t="shared" si="15"/>
        <v>0</v>
      </c>
      <c r="V18" s="68"/>
      <c r="W18" s="60">
        <f t="shared" si="0"/>
        <v>0</v>
      </c>
      <c r="X18" s="69"/>
      <c r="Y18" s="62"/>
      <c r="Z18" s="63">
        <f t="shared" si="16"/>
        <v>0</v>
      </c>
      <c r="AA18" s="41">
        <f t="shared" si="17"/>
        <v>0</v>
      </c>
      <c r="AB18" s="42">
        <f t="shared" si="4"/>
        <v>0</v>
      </c>
      <c r="AC18" s="188">
        <f t="shared" si="5"/>
        <v>0</v>
      </c>
      <c r="AD18" s="70"/>
      <c r="AE18" s="64"/>
      <c r="AG18" s="218">
        <f t="shared" si="6"/>
        <v>0</v>
      </c>
      <c r="AI18" s="64">
        <f t="shared" si="7"/>
        <v>0</v>
      </c>
      <c r="AK18" s="142">
        <f t="shared" si="8"/>
        <v>0</v>
      </c>
      <c r="AM18" s="142">
        <f t="shared" si="9"/>
        <v>0</v>
      </c>
    </row>
    <row r="19" spans="2:41" x14ac:dyDescent="0.25">
      <c r="B19" s="174">
        <v>6710</v>
      </c>
      <c r="C19" s="46" t="s">
        <v>0</v>
      </c>
      <c r="D19" s="65"/>
      <c r="E19" s="48">
        <f t="shared" si="1"/>
        <v>0</v>
      </c>
      <c r="F19" s="255"/>
      <c r="G19" s="50"/>
      <c r="H19" s="51">
        <f t="shared" si="10"/>
        <v>0</v>
      </c>
      <c r="I19" s="52">
        <f t="shared" si="11"/>
        <v>0</v>
      </c>
      <c r="J19" s="207"/>
      <c r="K19" s="248">
        <f t="shared" si="2"/>
        <v>0</v>
      </c>
      <c r="L19" s="224"/>
      <c r="M19" s="206"/>
      <c r="N19" s="195">
        <f t="shared" si="12"/>
        <v>0</v>
      </c>
      <c r="O19" s="196">
        <f t="shared" si="13"/>
        <v>0</v>
      </c>
      <c r="P19" s="66"/>
      <c r="Q19" s="31">
        <f t="shared" si="3"/>
        <v>0</v>
      </c>
      <c r="R19" s="73"/>
      <c r="S19" s="56"/>
      <c r="T19" s="57">
        <f t="shared" si="14"/>
        <v>0</v>
      </c>
      <c r="U19" s="58">
        <f t="shared" si="15"/>
        <v>0</v>
      </c>
      <c r="V19" s="68"/>
      <c r="W19" s="60">
        <f t="shared" si="0"/>
        <v>0</v>
      </c>
      <c r="X19" s="74"/>
      <c r="Y19" s="62"/>
      <c r="Z19" s="63">
        <f t="shared" si="16"/>
        <v>0</v>
      </c>
      <c r="AA19" s="41">
        <f t="shared" si="17"/>
        <v>0</v>
      </c>
      <c r="AB19" s="42">
        <f t="shared" si="4"/>
        <v>0</v>
      </c>
      <c r="AC19" s="188">
        <f t="shared" si="5"/>
        <v>0</v>
      </c>
      <c r="AD19" s="70"/>
      <c r="AE19" s="64"/>
      <c r="AF19" s="1" t="s">
        <v>25</v>
      </c>
      <c r="AG19" s="218">
        <f t="shared" si="6"/>
        <v>0</v>
      </c>
      <c r="AI19" s="64">
        <f t="shared" si="7"/>
        <v>0</v>
      </c>
      <c r="AK19" s="142">
        <f t="shared" si="8"/>
        <v>0</v>
      </c>
      <c r="AM19" s="142">
        <f t="shared" si="9"/>
        <v>0</v>
      </c>
    </row>
    <row r="20" spans="2:41" x14ac:dyDescent="0.25">
      <c r="B20" s="174" t="s">
        <v>26</v>
      </c>
      <c r="C20" s="46" t="s">
        <v>0</v>
      </c>
      <c r="D20" s="65"/>
      <c r="E20" s="48">
        <v>0</v>
      </c>
      <c r="F20" s="254"/>
      <c r="G20" s="50"/>
      <c r="H20" s="51">
        <f t="shared" si="10"/>
        <v>0</v>
      </c>
      <c r="I20" s="52">
        <f t="shared" si="11"/>
        <v>0</v>
      </c>
      <c r="J20" s="207"/>
      <c r="K20" s="248">
        <v>0</v>
      </c>
      <c r="L20" s="223"/>
      <c r="M20" s="206"/>
      <c r="N20" s="195">
        <f t="shared" si="12"/>
        <v>0</v>
      </c>
      <c r="O20" s="196">
        <f t="shared" si="13"/>
        <v>0</v>
      </c>
      <c r="P20" s="66"/>
      <c r="Q20" s="31">
        <v>0</v>
      </c>
      <c r="R20" s="67"/>
      <c r="S20" s="56"/>
      <c r="T20" s="57">
        <f t="shared" si="14"/>
        <v>0</v>
      </c>
      <c r="U20" s="58">
        <f t="shared" si="15"/>
        <v>0</v>
      </c>
      <c r="V20" s="68"/>
      <c r="W20" s="60">
        <v>0</v>
      </c>
      <c r="X20" s="69"/>
      <c r="Y20" s="62"/>
      <c r="Z20" s="63">
        <f t="shared" si="16"/>
        <v>0</v>
      </c>
      <c r="AA20" s="41">
        <f t="shared" si="17"/>
        <v>0</v>
      </c>
      <c r="AB20" s="42">
        <f t="shared" si="4"/>
        <v>0</v>
      </c>
      <c r="AC20" s="188">
        <f t="shared" si="5"/>
        <v>0</v>
      </c>
      <c r="AD20" s="70"/>
      <c r="AE20" s="64"/>
      <c r="AG20" s="218">
        <f t="shared" si="6"/>
        <v>0</v>
      </c>
      <c r="AI20" s="64">
        <f t="shared" si="7"/>
        <v>0</v>
      </c>
      <c r="AK20" s="142">
        <f t="shared" si="8"/>
        <v>0</v>
      </c>
      <c r="AM20" s="142">
        <f t="shared" si="9"/>
        <v>0</v>
      </c>
    </row>
    <row r="21" spans="2:41" x14ac:dyDescent="0.25">
      <c r="B21" s="174" t="s">
        <v>26</v>
      </c>
      <c r="C21" s="153" t="s">
        <v>28</v>
      </c>
      <c r="D21" s="65"/>
      <c r="E21" s="75">
        <v>0</v>
      </c>
      <c r="F21" s="254"/>
      <c r="G21" s="50"/>
      <c r="H21" s="51">
        <f t="shared" si="10"/>
        <v>0</v>
      </c>
      <c r="I21" s="52">
        <f t="shared" si="11"/>
        <v>0</v>
      </c>
      <c r="J21" s="207"/>
      <c r="K21" s="248">
        <v>0</v>
      </c>
      <c r="L21" s="223">
        <v>3</v>
      </c>
      <c r="M21" s="206">
        <f>17160*3</f>
        <v>51480</v>
      </c>
      <c r="N21" s="195">
        <f t="shared" si="12"/>
        <v>3</v>
      </c>
      <c r="O21" s="196">
        <f t="shared" si="13"/>
        <v>51480</v>
      </c>
      <c r="P21" s="66"/>
      <c r="Q21" s="31">
        <v>0</v>
      </c>
      <c r="R21" s="67">
        <v>5</v>
      </c>
      <c r="S21" s="56">
        <f>30910+17160*2+13750+13090</f>
        <v>92070</v>
      </c>
      <c r="T21" s="57">
        <f t="shared" si="14"/>
        <v>5</v>
      </c>
      <c r="U21" s="58">
        <f t="shared" si="15"/>
        <v>92070</v>
      </c>
      <c r="V21" s="68"/>
      <c r="W21" s="60">
        <v>0</v>
      </c>
      <c r="X21" s="69"/>
      <c r="Y21" s="62"/>
      <c r="Z21" s="63">
        <f t="shared" si="16"/>
        <v>0</v>
      </c>
      <c r="AA21" s="41">
        <f t="shared" si="17"/>
        <v>0</v>
      </c>
      <c r="AB21" s="152">
        <f t="shared" si="4"/>
        <v>8</v>
      </c>
      <c r="AC21" s="220">
        <f t="shared" si="5"/>
        <v>143550</v>
      </c>
      <c r="AD21" s="70"/>
      <c r="AE21" s="64"/>
      <c r="AG21" s="218">
        <f t="shared" si="6"/>
        <v>0</v>
      </c>
      <c r="AI21" s="151">
        <f t="shared" si="7"/>
        <v>143550</v>
      </c>
      <c r="AK21" s="142">
        <f t="shared" si="8"/>
        <v>8</v>
      </c>
      <c r="AM21" s="142">
        <f t="shared" si="9"/>
        <v>0</v>
      </c>
    </row>
    <row r="22" spans="2:41" ht="15.75" thickBot="1" x14ac:dyDescent="0.3">
      <c r="B22" s="176" t="s">
        <v>26</v>
      </c>
      <c r="C22" s="76" t="s">
        <v>29</v>
      </c>
      <c r="D22" s="77"/>
      <c r="E22" s="78">
        <v>0</v>
      </c>
      <c r="F22" s="256"/>
      <c r="G22" s="257"/>
      <c r="H22" s="81">
        <f t="shared" si="10"/>
        <v>0</v>
      </c>
      <c r="I22" s="82">
        <f t="shared" si="11"/>
        <v>0</v>
      </c>
      <c r="J22" s="210"/>
      <c r="K22" s="250">
        <v>0</v>
      </c>
      <c r="L22" s="225"/>
      <c r="M22" s="213"/>
      <c r="N22" s="197">
        <f t="shared" si="12"/>
        <v>0</v>
      </c>
      <c r="O22" s="198">
        <f t="shared" si="13"/>
        <v>0</v>
      </c>
      <c r="P22" s="83"/>
      <c r="Q22" s="84">
        <v>0</v>
      </c>
      <c r="R22" s="85"/>
      <c r="S22" s="86"/>
      <c r="T22" s="87">
        <f t="shared" si="14"/>
        <v>0</v>
      </c>
      <c r="U22" s="88">
        <f t="shared" si="15"/>
        <v>0</v>
      </c>
      <c r="V22" s="89"/>
      <c r="W22" s="60">
        <v>0</v>
      </c>
      <c r="X22" s="90"/>
      <c r="Y22" s="91"/>
      <c r="Z22" s="92">
        <f t="shared" si="16"/>
        <v>0</v>
      </c>
      <c r="AA22" s="93">
        <f t="shared" si="17"/>
        <v>0</v>
      </c>
      <c r="AB22" s="42">
        <f t="shared" si="4"/>
        <v>0</v>
      </c>
      <c r="AC22" s="188">
        <f t="shared" si="5"/>
        <v>0</v>
      </c>
      <c r="AD22" s="70"/>
      <c r="AE22" s="94"/>
      <c r="AG22" s="219">
        <f t="shared" si="6"/>
        <v>0</v>
      </c>
      <c r="AI22" s="94">
        <f t="shared" si="7"/>
        <v>0</v>
      </c>
      <c r="AK22" s="144">
        <f t="shared" si="8"/>
        <v>0</v>
      </c>
      <c r="AM22" s="144">
        <f t="shared" si="9"/>
        <v>0</v>
      </c>
    </row>
    <row r="23" spans="2:41" ht="15.75" thickBot="1" x14ac:dyDescent="0.3">
      <c r="D23" s="95">
        <f t="shared" ref="D23:I23" si="18">SUM(D8:D22)</f>
        <v>0</v>
      </c>
      <c r="E23" s="96">
        <f t="shared" si="18"/>
        <v>0</v>
      </c>
      <c r="F23" s="95">
        <f t="shared" si="18"/>
        <v>0</v>
      </c>
      <c r="G23" s="97">
        <f t="shared" si="18"/>
        <v>0</v>
      </c>
      <c r="H23" s="98">
        <f t="shared" si="18"/>
        <v>0</v>
      </c>
      <c r="I23" s="99">
        <f t="shared" si="18"/>
        <v>0</v>
      </c>
      <c r="J23" s="214">
        <f t="shared" ref="J23:O23" si="19">SUM(J8:J22)</f>
        <v>0</v>
      </c>
      <c r="K23" s="226">
        <f t="shared" si="19"/>
        <v>0</v>
      </c>
      <c r="L23" s="214">
        <f t="shared" si="19"/>
        <v>13</v>
      </c>
      <c r="M23" s="216">
        <f t="shared" si="19"/>
        <v>114680</v>
      </c>
      <c r="N23" s="217">
        <f t="shared" si="19"/>
        <v>13</v>
      </c>
      <c r="O23" s="99">
        <f t="shared" si="19"/>
        <v>114680</v>
      </c>
      <c r="P23" s="100">
        <f t="shared" ref="P23:AA23" si="20">SUM(P8:P22)</f>
        <v>0</v>
      </c>
      <c r="Q23" s="101">
        <f t="shared" si="20"/>
        <v>0</v>
      </c>
      <c r="R23" s="100">
        <f t="shared" si="20"/>
        <v>22</v>
      </c>
      <c r="S23" s="102">
        <f t="shared" si="20"/>
        <v>195086</v>
      </c>
      <c r="T23" s="103">
        <f t="shared" si="20"/>
        <v>22</v>
      </c>
      <c r="U23" s="104">
        <f t="shared" si="20"/>
        <v>195086</v>
      </c>
      <c r="V23" s="105">
        <f t="shared" si="20"/>
        <v>0</v>
      </c>
      <c r="W23" s="106">
        <f t="shared" si="20"/>
        <v>0</v>
      </c>
      <c r="X23" s="105">
        <f t="shared" si="20"/>
        <v>0</v>
      </c>
      <c r="Y23" s="107">
        <f t="shared" si="20"/>
        <v>0</v>
      </c>
      <c r="Z23" s="108">
        <f t="shared" si="20"/>
        <v>0</v>
      </c>
      <c r="AA23" s="104">
        <f t="shared" si="20"/>
        <v>0</v>
      </c>
      <c r="AB23" s="109" t="s">
        <v>9</v>
      </c>
      <c r="AC23" s="43">
        <f>SUM(AC8:AC22)</f>
        <v>309766</v>
      </c>
      <c r="AD23" s="70"/>
      <c r="AE23" s="1">
        <f>SUM(AE8:AE22)</f>
        <v>4424</v>
      </c>
      <c r="AI23" s="110"/>
      <c r="AK23" s="1">
        <f>SUM(AK8:AK22)</f>
        <v>35</v>
      </c>
      <c r="AM23" s="1">
        <f>SUM(AM8:AM22)</f>
        <v>0</v>
      </c>
      <c r="AO23" s="1">
        <f>+AK23+AM23</f>
        <v>35</v>
      </c>
    </row>
    <row r="24" spans="2:41" x14ac:dyDescent="0.25">
      <c r="G24" s="111"/>
      <c r="H24" s="111"/>
      <c r="I24" s="111"/>
      <c r="M24" s="111"/>
      <c r="N24" s="111"/>
      <c r="O24" s="111"/>
      <c r="P24" s="111"/>
      <c r="Q24" s="111"/>
      <c r="R24" s="112">
        <f>X23+F23+R23+L23</f>
        <v>35</v>
      </c>
      <c r="S24" s="113">
        <f>G23+Y23+S23+M23</f>
        <v>309766</v>
      </c>
      <c r="T24" s="111"/>
      <c r="U24" s="111"/>
      <c r="V24" s="111"/>
      <c r="W24" s="111"/>
      <c r="X24" s="111"/>
      <c r="Y24" s="111"/>
      <c r="Z24" s="111"/>
      <c r="AA24" s="111"/>
      <c r="AB24" s="2"/>
      <c r="AC24" s="70">
        <f>AA23+U23+I23+O23</f>
        <v>309766</v>
      </c>
      <c r="AD24" s="2"/>
    </row>
    <row r="25" spans="2:41" x14ac:dyDescent="0.25">
      <c r="D25" s="114" t="s">
        <v>30</v>
      </c>
      <c r="E25" s="114"/>
      <c r="G25" s="114"/>
      <c r="H25" s="114"/>
      <c r="I25" s="114"/>
      <c r="J25" s="114" t="s">
        <v>30</v>
      </c>
      <c r="K25" s="114"/>
      <c r="M25" s="114"/>
      <c r="N25" s="114"/>
      <c r="O25" s="114"/>
      <c r="P25" s="114"/>
      <c r="Q25" s="114"/>
      <c r="R25" s="114"/>
      <c r="S25" s="114"/>
      <c r="T25" s="114"/>
      <c r="U25" s="114"/>
      <c r="AA25" s="2"/>
      <c r="AB25" s="2"/>
      <c r="AC25" s="2"/>
      <c r="AD25" s="2"/>
    </row>
    <row r="26" spans="2:41" x14ac:dyDescent="0.25">
      <c r="D26" s="114"/>
      <c r="E26" s="114"/>
      <c r="J26" s="114"/>
      <c r="K26" s="114"/>
      <c r="P26" s="1"/>
      <c r="Q26" s="1"/>
      <c r="R26" s="1"/>
      <c r="S26" s="1"/>
      <c r="T26" s="1"/>
      <c r="U26" s="1"/>
      <c r="AA26" s="2"/>
      <c r="AB26" s="2"/>
      <c r="AC26" s="2"/>
      <c r="AD26" s="2"/>
    </row>
    <row r="27" spans="2:41" x14ac:dyDescent="0.25">
      <c r="C27" s="115">
        <v>20000</v>
      </c>
      <c r="D27" s="115"/>
      <c r="E27" s="115"/>
      <c r="F27" s="116"/>
      <c r="G27" s="117"/>
      <c r="H27" s="118"/>
      <c r="I27" s="119"/>
      <c r="J27" s="115"/>
      <c r="K27" s="115"/>
      <c r="L27" s="116"/>
      <c r="M27" s="117"/>
      <c r="N27" s="118"/>
      <c r="O27" s="119"/>
      <c r="P27" s="119"/>
      <c r="Q27" s="119"/>
      <c r="R27" s="119"/>
      <c r="S27" s="119"/>
      <c r="T27" s="119"/>
      <c r="U27" s="119"/>
      <c r="V27" s="119"/>
      <c r="W27" s="119"/>
      <c r="X27" s="120"/>
      <c r="Y27" s="121"/>
      <c r="Z27" s="120"/>
      <c r="AA27" s="119"/>
      <c r="AB27" s="122"/>
      <c r="AC27" s="122"/>
      <c r="AD27" s="2"/>
      <c r="AE27" s="2"/>
      <c r="AF27" s="2"/>
    </row>
    <row r="28" spans="2:41" x14ac:dyDescent="0.25">
      <c r="C28" s="115">
        <v>10000</v>
      </c>
      <c r="D28" s="115"/>
      <c r="E28" s="115"/>
      <c r="F28" s="116"/>
      <c r="G28" s="117"/>
      <c r="H28" s="118"/>
      <c r="I28" s="119"/>
      <c r="J28" s="115"/>
      <c r="K28" s="115"/>
      <c r="L28" s="116"/>
      <c r="M28" s="117"/>
      <c r="N28" s="118"/>
      <c r="O28" s="119"/>
      <c r="P28" s="119"/>
      <c r="Q28" s="119"/>
      <c r="R28" s="119"/>
      <c r="S28" s="119"/>
      <c r="T28" s="119"/>
      <c r="U28" s="119"/>
      <c r="V28" s="119"/>
      <c r="W28" s="119"/>
      <c r="X28" s="120"/>
      <c r="Y28" s="122"/>
      <c r="Z28" s="120"/>
      <c r="AA28" s="119"/>
      <c r="AB28" s="122"/>
      <c r="AC28" s="122"/>
      <c r="AD28" s="2"/>
      <c r="AE28" s="2"/>
      <c r="AF28" s="2"/>
    </row>
    <row r="29" spans="2:41" x14ac:dyDescent="0.25">
      <c r="C29" s="115">
        <v>5000</v>
      </c>
      <c r="D29" s="115"/>
      <c r="E29" s="115"/>
      <c r="F29" s="116"/>
      <c r="G29" s="117"/>
      <c r="H29" s="118"/>
      <c r="I29" s="119"/>
      <c r="J29" s="115"/>
      <c r="K29" s="115"/>
      <c r="L29" s="116"/>
      <c r="M29" s="117"/>
      <c r="N29" s="118"/>
      <c r="O29" s="119"/>
      <c r="P29" s="119"/>
      <c r="Q29" s="119"/>
      <c r="R29" s="119"/>
      <c r="S29" s="119"/>
      <c r="T29" s="119"/>
      <c r="U29" s="119"/>
      <c r="V29" s="119"/>
      <c r="W29" s="119"/>
      <c r="X29" s="120"/>
      <c r="Y29" s="121"/>
      <c r="Z29" s="120"/>
      <c r="AA29" s="119"/>
      <c r="AB29" s="122"/>
      <c r="AC29" s="122"/>
      <c r="AD29" s="2"/>
      <c r="AE29" s="2"/>
      <c r="AF29" s="2"/>
    </row>
    <row r="30" spans="2:41" x14ac:dyDescent="0.25">
      <c r="C30" s="115">
        <v>2000</v>
      </c>
      <c r="D30" s="115"/>
      <c r="E30" s="115"/>
      <c r="F30" s="116"/>
      <c r="G30" s="117"/>
      <c r="H30" s="118"/>
      <c r="I30" s="119"/>
      <c r="J30" s="115"/>
      <c r="K30" s="115"/>
      <c r="L30" s="116"/>
      <c r="M30" s="117"/>
      <c r="N30" s="118"/>
      <c r="O30" s="119"/>
      <c r="P30" s="119"/>
      <c r="Q30" s="119"/>
      <c r="R30" s="119"/>
      <c r="S30" s="119"/>
      <c r="T30" s="119"/>
      <c r="U30" s="119"/>
      <c r="V30" s="119"/>
      <c r="W30" s="119"/>
      <c r="X30" s="120"/>
      <c r="Y30" s="121"/>
      <c r="Z30" s="120"/>
      <c r="AA30" s="119"/>
      <c r="AB30" s="122"/>
      <c r="AC30" s="122"/>
      <c r="AD30" s="123"/>
    </row>
    <row r="31" spans="2:41" x14ac:dyDescent="0.25">
      <c r="C31" s="115">
        <v>1000</v>
      </c>
      <c r="D31" s="115"/>
      <c r="E31" s="115"/>
      <c r="F31" s="116"/>
      <c r="G31" s="117"/>
      <c r="H31" s="118"/>
      <c r="I31" s="124"/>
      <c r="J31" s="115"/>
      <c r="K31" s="115"/>
      <c r="L31" s="116"/>
      <c r="M31" s="117"/>
      <c r="N31" s="118"/>
      <c r="O31" s="124"/>
      <c r="P31" s="124"/>
      <c r="Q31" s="124"/>
      <c r="R31" s="124"/>
      <c r="S31" s="124"/>
      <c r="T31" s="124"/>
      <c r="U31" s="124"/>
      <c r="V31" s="124"/>
      <c r="W31" s="124"/>
      <c r="X31" s="120"/>
      <c r="Y31" s="121"/>
      <c r="Z31" s="120"/>
      <c r="AA31" s="124"/>
      <c r="AB31" s="122"/>
      <c r="AC31" s="122"/>
      <c r="AD31" s="2"/>
    </row>
    <row r="32" spans="2:41" x14ac:dyDescent="0.25">
      <c r="C32" s="115">
        <v>500</v>
      </c>
      <c r="D32" s="115"/>
      <c r="E32" s="115"/>
      <c r="F32" s="116"/>
      <c r="G32" s="117"/>
      <c r="H32" s="118"/>
      <c r="I32" s="119"/>
      <c r="J32" s="115"/>
      <c r="K32" s="115"/>
      <c r="L32" s="116"/>
      <c r="M32" s="117"/>
      <c r="N32" s="118"/>
      <c r="O32" s="119"/>
      <c r="P32" s="119"/>
      <c r="Q32" s="119"/>
      <c r="R32" s="119"/>
      <c r="S32" s="119"/>
      <c r="T32" s="119"/>
      <c r="U32" s="119"/>
      <c r="V32" s="119"/>
      <c r="W32" s="119"/>
      <c r="X32" s="120"/>
      <c r="Y32" s="121"/>
      <c r="Z32" s="120"/>
      <c r="AA32" s="119"/>
      <c r="AB32" s="121"/>
      <c r="AC32" s="121"/>
      <c r="AD32" s="2"/>
    </row>
    <row r="33" spans="2:33" x14ac:dyDescent="0.25">
      <c r="C33" s="115">
        <v>100</v>
      </c>
      <c r="D33" s="115"/>
      <c r="E33" s="115"/>
      <c r="F33" s="116"/>
      <c r="G33" s="117"/>
      <c r="H33" s="118"/>
      <c r="I33" s="119"/>
      <c r="J33" s="115"/>
      <c r="K33" s="115"/>
      <c r="L33" s="116"/>
      <c r="M33" s="117"/>
      <c r="N33" s="118"/>
      <c r="O33" s="119"/>
      <c r="P33" s="119"/>
      <c r="Q33" s="119"/>
      <c r="R33" s="119"/>
      <c r="S33" s="119"/>
      <c r="T33" s="119"/>
      <c r="U33" s="119"/>
      <c r="V33" s="119"/>
      <c r="W33" s="119"/>
      <c r="X33" s="120"/>
      <c r="Y33" s="121"/>
      <c r="Z33" s="120"/>
      <c r="AA33" s="119"/>
      <c r="AB33" s="121"/>
      <c r="AC33" s="121"/>
      <c r="AD33" s="2"/>
    </row>
    <row r="34" spans="2:33" x14ac:dyDescent="0.25">
      <c r="C34" s="115">
        <v>50</v>
      </c>
      <c r="D34" s="115"/>
      <c r="E34" s="115"/>
      <c r="F34" s="116"/>
      <c r="G34" s="117"/>
      <c r="H34" s="118"/>
      <c r="I34" s="119"/>
      <c r="J34" s="115"/>
      <c r="K34" s="115"/>
      <c r="L34" s="116"/>
      <c r="M34" s="117"/>
      <c r="N34" s="118"/>
      <c r="O34" s="119"/>
      <c r="P34" s="119"/>
      <c r="Q34" s="119"/>
      <c r="R34" s="119"/>
      <c r="S34" s="119"/>
      <c r="T34" s="119"/>
      <c r="U34" s="119"/>
      <c r="V34" s="119"/>
      <c r="W34" s="119"/>
      <c r="X34" s="120"/>
      <c r="Y34" s="121"/>
      <c r="Z34" s="120"/>
      <c r="AA34" s="119"/>
      <c r="AB34" s="121"/>
      <c r="AC34" s="121"/>
      <c r="AD34" s="2"/>
    </row>
    <row r="35" spans="2:33" x14ac:dyDescent="0.25">
      <c r="C35" s="115">
        <v>10</v>
      </c>
      <c r="D35" s="115"/>
      <c r="E35" s="115"/>
      <c r="F35" s="116"/>
      <c r="G35" s="117"/>
      <c r="H35" s="118"/>
      <c r="I35" s="119"/>
      <c r="J35" s="115"/>
      <c r="K35" s="115"/>
      <c r="L35" s="116"/>
      <c r="M35" s="117"/>
      <c r="N35" s="118"/>
      <c r="O35" s="119">
        <v>114680</v>
      </c>
      <c r="P35" s="119"/>
      <c r="Q35" s="119"/>
      <c r="R35" s="119"/>
      <c r="S35" s="119"/>
      <c r="T35" s="119"/>
      <c r="U35" s="119">
        <v>129990</v>
      </c>
      <c r="V35" s="119"/>
      <c r="W35" s="119"/>
      <c r="X35" s="120"/>
      <c r="Y35" s="121"/>
      <c r="Z35" s="120"/>
      <c r="AA35" s="119"/>
      <c r="AB35" s="121"/>
      <c r="AC35" s="121"/>
      <c r="AD35" s="2"/>
      <c r="AG35" s="1" t="s">
        <v>25</v>
      </c>
    </row>
    <row r="36" spans="2:33" x14ac:dyDescent="0.25">
      <c r="C36" s="1" t="s">
        <v>32</v>
      </c>
      <c r="E36" s="131"/>
      <c r="G36" s="125"/>
      <c r="H36" s="118"/>
      <c r="I36" s="124"/>
      <c r="K36" s="131"/>
      <c r="M36" s="125"/>
      <c r="N36" s="118"/>
      <c r="O36" s="124"/>
      <c r="P36" s="124"/>
      <c r="Q36" s="124"/>
      <c r="R36" s="124"/>
      <c r="S36" s="124"/>
      <c r="T36" s="124"/>
      <c r="U36" s="124">
        <v>65096</v>
      </c>
      <c r="V36" s="124"/>
      <c r="W36" s="124"/>
      <c r="X36" s="120"/>
      <c r="Y36" s="124"/>
      <c r="Z36" s="120"/>
      <c r="AA36" s="124"/>
      <c r="AB36" s="124"/>
      <c r="AC36" s="124"/>
      <c r="AD36" s="2"/>
    </row>
    <row r="37" spans="2:33" s="114" customFormat="1" ht="15.75" x14ac:dyDescent="0.25">
      <c r="F37" s="126"/>
      <c r="G37" s="127"/>
      <c r="I37" s="128">
        <f>SUM(I27:I36)</f>
        <v>0</v>
      </c>
      <c r="L37" s="126"/>
      <c r="M37" s="127"/>
      <c r="O37" s="128">
        <f>SUM(O27:O36)</f>
        <v>114680</v>
      </c>
      <c r="P37" s="116"/>
      <c r="Q37" s="116"/>
      <c r="R37" s="116"/>
      <c r="S37" s="116"/>
      <c r="T37" s="116"/>
      <c r="U37" s="128">
        <f>SUM(U27:U36)</f>
        <v>195086</v>
      </c>
      <c r="V37" s="116"/>
      <c r="W37" s="116"/>
      <c r="X37" s="123"/>
      <c r="Y37" s="116"/>
      <c r="Z37" s="123"/>
      <c r="AA37" s="128">
        <f>SUM(AA27:AA36)</f>
        <v>0</v>
      </c>
      <c r="AB37" s="129"/>
      <c r="AC37" s="125">
        <f>+I37+U37+AA37+O37</f>
        <v>309766</v>
      </c>
    </row>
    <row r="38" spans="2:33" x14ac:dyDescent="0.25">
      <c r="B38" s="2"/>
      <c r="C38" s="2"/>
      <c r="D38" s="2"/>
      <c r="E38" s="70"/>
      <c r="F38" s="2"/>
      <c r="G38" s="2"/>
      <c r="H38" s="2"/>
      <c r="I38" s="2"/>
      <c r="J38" s="2"/>
      <c r="K38" s="70"/>
      <c r="L38" s="2"/>
      <c r="M38" s="2"/>
      <c r="N38" s="2"/>
      <c r="O38" s="2"/>
      <c r="X38" s="70"/>
      <c r="AA38" s="2"/>
      <c r="AB38" s="130"/>
      <c r="AC38" s="131">
        <f>AC37-AC24</f>
        <v>0</v>
      </c>
    </row>
    <row r="39" spans="2:33" x14ac:dyDescent="0.25">
      <c r="B39" s="2"/>
      <c r="C39" s="2"/>
      <c r="D39" s="2"/>
      <c r="E39" s="70"/>
      <c r="F39" s="2"/>
      <c r="G39" s="2"/>
      <c r="H39" s="2"/>
      <c r="I39" s="129"/>
      <c r="J39" s="2"/>
      <c r="K39" s="70"/>
      <c r="L39" s="2"/>
      <c r="M39" s="2"/>
      <c r="N39" s="2"/>
      <c r="O39" s="129"/>
      <c r="P39" s="2" t="s">
        <v>38</v>
      </c>
      <c r="U39" s="129"/>
      <c r="X39" s="70"/>
      <c r="AA39" s="2"/>
      <c r="AB39" s="130"/>
      <c r="AC39" s="131"/>
    </row>
    <row r="40" spans="2:33" x14ac:dyDescent="0.25">
      <c r="E40" s="110"/>
      <c r="Q40" s="133"/>
      <c r="Y40" s="1"/>
      <c r="Z40" s="1"/>
    </row>
    <row r="41" spans="2:33" x14ac:dyDescent="0.25">
      <c r="S41" s="129"/>
      <c r="T41" s="129"/>
      <c r="U41" s="129"/>
      <c r="W41" s="130"/>
    </row>
  </sheetData>
  <mergeCells count="11">
    <mergeCell ref="Q3:T3"/>
    <mergeCell ref="C4:D4"/>
    <mergeCell ref="V6:AA6"/>
    <mergeCell ref="AB6:AB7"/>
    <mergeCell ref="AC6:AC7"/>
    <mergeCell ref="AE6:AE7"/>
    <mergeCell ref="B6:B7"/>
    <mergeCell ref="C6:C7"/>
    <mergeCell ref="D6:I6"/>
    <mergeCell ref="J6:O6"/>
    <mergeCell ref="P6:U6"/>
  </mergeCells>
  <pageMargins left="0.39370078740157483" right="0.39370078740157483" top="0.19685039370078741" bottom="0.19685039370078741" header="0" footer="0"/>
  <pageSetup paperSize="9" scale="77" orientation="landscape" horizontalDpi="0" verticalDpi="0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6">
    <pageSetUpPr fitToPage="1"/>
  </sheetPr>
  <dimension ref="A1:AO41"/>
  <sheetViews>
    <sheetView zoomScaleNormal="100" workbookViewId="0">
      <pane xSplit="3" topLeftCell="P1" activePane="topRight" state="frozen"/>
      <selection activeCell="F4" sqref="F4"/>
      <selection pane="topRight" activeCell="AE39" sqref="B2:AE39"/>
    </sheetView>
  </sheetViews>
  <sheetFormatPr baseColWidth="10" defaultRowHeight="15" x14ac:dyDescent="0.25"/>
  <cols>
    <col min="1" max="1" width="1.7109375" style="1" customWidth="1"/>
    <col min="2" max="2" width="10" style="1" customWidth="1"/>
    <col min="3" max="3" width="29.140625" style="1" customWidth="1"/>
    <col min="4" max="4" width="5.7109375" style="1" hidden="1" customWidth="1"/>
    <col min="5" max="5" width="10.7109375" style="1" hidden="1" customWidth="1"/>
    <col min="6" max="6" width="5.7109375" style="1" hidden="1" customWidth="1"/>
    <col min="7" max="7" width="10.7109375" style="1" hidden="1" customWidth="1"/>
    <col min="8" max="8" width="5.7109375" style="1" hidden="1" customWidth="1"/>
    <col min="9" max="9" width="10.7109375" style="1" hidden="1" customWidth="1"/>
    <col min="10" max="10" width="5.7109375" style="1" hidden="1" customWidth="1"/>
    <col min="11" max="11" width="10.7109375" style="1" hidden="1" customWidth="1"/>
    <col min="12" max="12" width="5.7109375" style="1" hidden="1" customWidth="1"/>
    <col min="13" max="13" width="10.7109375" style="1" hidden="1" customWidth="1"/>
    <col min="14" max="14" width="5.7109375" style="1" hidden="1" customWidth="1"/>
    <col min="15" max="15" width="10.7109375" style="1" hidden="1" customWidth="1"/>
    <col min="16" max="16" width="5.7109375" style="2" customWidth="1"/>
    <col min="17" max="17" width="10.7109375" style="2" customWidth="1"/>
    <col min="18" max="18" width="5.7109375" style="2" customWidth="1"/>
    <col min="19" max="19" width="10.7109375" style="2" customWidth="1"/>
    <col min="20" max="20" width="5.7109375" style="2" customWidth="1"/>
    <col min="21" max="21" width="10.7109375" style="2" customWidth="1"/>
    <col min="22" max="22" width="5.7109375" style="2" hidden="1" customWidth="1"/>
    <col min="23" max="23" width="10.7109375" style="2" hidden="1" customWidth="1"/>
    <col min="24" max="24" width="5.7109375" style="2" hidden="1" customWidth="1"/>
    <col min="25" max="25" width="10.7109375" style="2" hidden="1" customWidth="1"/>
    <col min="26" max="26" width="5.7109375" style="2" hidden="1" customWidth="1"/>
    <col min="27" max="27" width="10.7109375" style="1" hidden="1" customWidth="1"/>
    <col min="28" max="28" width="9.5703125" style="1" customWidth="1"/>
    <col min="29" max="29" width="14.5703125" style="1" bestFit="1" customWidth="1"/>
    <col min="30" max="30" width="3.28515625" style="1" customWidth="1"/>
    <col min="31" max="31" width="11.42578125" style="1"/>
    <col min="32" max="32" width="3.7109375" style="1" customWidth="1"/>
    <col min="33" max="33" width="10.140625" style="1" customWidth="1"/>
    <col min="34" max="34" width="3.7109375" style="1" customWidth="1"/>
    <col min="35" max="35" width="11.42578125" style="1"/>
    <col min="36" max="36" width="3.7109375" style="1" customWidth="1"/>
    <col min="37" max="37" width="5.7109375" style="1" customWidth="1"/>
    <col min="38" max="38" width="3.7109375" style="1" customWidth="1"/>
    <col min="39" max="39" width="5.7109375" style="1" customWidth="1"/>
    <col min="40" max="40" width="3.7109375" style="1" customWidth="1"/>
    <col min="41" max="41" width="5.7109375" style="1" customWidth="1"/>
    <col min="42" max="16384" width="11.42578125" style="1"/>
  </cols>
  <sheetData>
    <row r="1" spans="1:39" ht="5.25" customHeight="1" x14ac:dyDescent="0.25">
      <c r="Y1" s="1"/>
      <c r="Z1" s="1"/>
    </row>
    <row r="2" spans="1:39" ht="21" x14ac:dyDescent="0.35">
      <c r="B2" s="3" t="s">
        <v>0</v>
      </c>
      <c r="P2" s="1"/>
      <c r="Q2" s="4"/>
      <c r="Z2" s="1"/>
    </row>
    <row r="3" spans="1:39" ht="15" customHeight="1" x14ac:dyDescent="0.25">
      <c r="A3" s="5"/>
      <c r="B3" s="6" t="s">
        <v>1</v>
      </c>
      <c r="C3" s="7"/>
      <c r="D3" s="7"/>
      <c r="E3" s="7"/>
      <c r="F3" s="7"/>
      <c r="P3" s="1"/>
      <c r="Q3" s="353"/>
      <c r="R3" s="353"/>
      <c r="S3" s="353"/>
      <c r="T3" s="353"/>
      <c r="U3" s="252"/>
      <c r="V3" s="252"/>
      <c r="Z3" s="1"/>
    </row>
    <row r="4" spans="1:39" ht="18" customHeight="1" x14ac:dyDescent="0.25">
      <c r="B4" s="253" t="s">
        <v>2</v>
      </c>
      <c r="C4" s="354" t="s">
        <v>73</v>
      </c>
      <c r="D4" s="355"/>
      <c r="E4" s="253"/>
      <c r="F4" s="253"/>
      <c r="P4" s="1"/>
      <c r="Q4" s="9"/>
      <c r="R4" s="10"/>
      <c r="S4" s="9"/>
      <c r="T4" s="9"/>
      <c r="U4" s="9"/>
      <c r="V4" s="9"/>
      <c r="Z4" s="1"/>
    </row>
    <row r="5" spans="1:39" ht="15.75" thickBot="1" x14ac:dyDescent="0.3">
      <c r="A5" s="253"/>
      <c r="B5" s="253"/>
      <c r="C5" s="253"/>
      <c r="D5" s="253"/>
      <c r="E5" s="253"/>
      <c r="J5" s="253"/>
      <c r="K5" s="253"/>
      <c r="P5" s="1"/>
      <c r="Q5" s="1"/>
      <c r="R5" s="1"/>
      <c r="S5" s="1"/>
      <c r="T5" s="1"/>
      <c r="U5" s="1"/>
      <c r="V5" s="9"/>
      <c r="W5" s="9"/>
      <c r="X5" s="9"/>
      <c r="Y5" s="9"/>
      <c r="Z5" s="9"/>
      <c r="AA5" s="9"/>
      <c r="AB5" s="2"/>
      <c r="AC5" s="2"/>
      <c r="AD5" s="2"/>
    </row>
    <row r="6" spans="1:39" ht="27.75" customHeight="1" thickBot="1" x14ac:dyDescent="0.3">
      <c r="B6" s="356" t="s">
        <v>3</v>
      </c>
      <c r="C6" s="343" t="s">
        <v>4</v>
      </c>
      <c r="D6" s="358" t="s">
        <v>36</v>
      </c>
      <c r="E6" s="359"/>
      <c r="F6" s="360"/>
      <c r="G6" s="360"/>
      <c r="H6" s="360"/>
      <c r="I6" s="361"/>
      <c r="J6" s="370" t="s">
        <v>39</v>
      </c>
      <c r="K6" s="371"/>
      <c r="L6" s="372"/>
      <c r="M6" s="372"/>
      <c r="N6" s="372"/>
      <c r="O6" s="373"/>
      <c r="P6" s="362" t="s">
        <v>31</v>
      </c>
      <c r="Q6" s="363"/>
      <c r="R6" s="364"/>
      <c r="S6" s="364"/>
      <c r="T6" s="364"/>
      <c r="U6" s="365"/>
      <c r="V6" s="366" t="s">
        <v>31</v>
      </c>
      <c r="W6" s="367"/>
      <c r="X6" s="368"/>
      <c r="Y6" s="368"/>
      <c r="Z6" s="368"/>
      <c r="AA6" s="369"/>
      <c r="AB6" s="349" t="s">
        <v>5</v>
      </c>
      <c r="AC6" s="349" t="s">
        <v>6</v>
      </c>
      <c r="AD6" s="2"/>
      <c r="AE6" s="351" t="s">
        <v>7</v>
      </c>
      <c r="AF6" s="2"/>
    </row>
    <row r="7" spans="1:39" ht="25.5" customHeight="1" thickBot="1" x14ac:dyDescent="0.3">
      <c r="B7" s="357"/>
      <c r="C7" s="344"/>
      <c r="D7" s="11" t="s">
        <v>8</v>
      </c>
      <c r="E7" s="12" t="s">
        <v>9</v>
      </c>
      <c r="F7" s="13" t="s">
        <v>8</v>
      </c>
      <c r="G7" s="14" t="s">
        <v>9</v>
      </c>
      <c r="H7" s="11" t="s">
        <v>5</v>
      </c>
      <c r="I7" s="14" t="s">
        <v>10</v>
      </c>
      <c r="J7" s="190" t="s">
        <v>8</v>
      </c>
      <c r="K7" s="192" t="s">
        <v>9</v>
      </c>
      <c r="L7" s="191" t="s">
        <v>8</v>
      </c>
      <c r="M7" s="192" t="s">
        <v>9</v>
      </c>
      <c r="N7" s="190" t="s">
        <v>5</v>
      </c>
      <c r="O7" s="192" t="s">
        <v>10</v>
      </c>
      <c r="P7" s="15" t="s">
        <v>8</v>
      </c>
      <c r="Q7" s="16" t="s">
        <v>9</v>
      </c>
      <c r="R7" s="17" t="s">
        <v>8</v>
      </c>
      <c r="S7" s="16" t="s">
        <v>9</v>
      </c>
      <c r="T7" s="15" t="s">
        <v>5</v>
      </c>
      <c r="U7" s="16" t="s">
        <v>10</v>
      </c>
      <c r="V7" s="18" t="s">
        <v>8</v>
      </c>
      <c r="W7" s="19" t="s">
        <v>9</v>
      </c>
      <c r="X7" s="20" t="s">
        <v>8</v>
      </c>
      <c r="Y7" s="21" t="s">
        <v>9</v>
      </c>
      <c r="Z7" s="18" t="s">
        <v>5</v>
      </c>
      <c r="AA7" s="21" t="s">
        <v>10</v>
      </c>
      <c r="AB7" s="350"/>
      <c r="AC7" s="350"/>
      <c r="AD7" s="2"/>
      <c r="AE7" s="352"/>
      <c r="AG7" s="22" t="s">
        <v>11</v>
      </c>
      <c r="AI7" s="22" t="s">
        <v>12</v>
      </c>
    </row>
    <row r="8" spans="1:39" x14ac:dyDescent="0.25">
      <c r="B8" s="173">
        <v>6320</v>
      </c>
      <c r="C8" s="23" t="s">
        <v>13</v>
      </c>
      <c r="D8" s="24"/>
      <c r="E8" s="25">
        <f>+D8*B8</f>
        <v>0</v>
      </c>
      <c r="F8" s="26"/>
      <c r="G8" s="27"/>
      <c r="H8" s="28">
        <f>D8+F8</f>
        <v>0</v>
      </c>
      <c r="I8" s="29">
        <f>E8+G8</f>
        <v>0</v>
      </c>
      <c r="J8" s="199"/>
      <c r="K8" s="249">
        <f>+J8*B8</f>
        <v>0</v>
      </c>
      <c r="L8" s="222"/>
      <c r="M8" s="202"/>
      <c r="N8" s="193">
        <f>J8+L8</f>
        <v>0</v>
      </c>
      <c r="O8" s="194">
        <f>K8+M8</f>
        <v>0</v>
      </c>
      <c r="P8" s="30"/>
      <c r="Q8" s="33">
        <f>+P8*B8</f>
        <v>0</v>
      </c>
      <c r="R8" s="32"/>
      <c r="S8" s="33"/>
      <c r="T8" s="34">
        <f>P8+R8</f>
        <v>0</v>
      </c>
      <c r="U8" s="35">
        <f>Q8+S8</f>
        <v>0</v>
      </c>
      <c r="V8" s="36"/>
      <c r="W8" s="37">
        <f t="shared" ref="W8:W19" si="0">+V8*B8</f>
        <v>0</v>
      </c>
      <c r="X8" s="38"/>
      <c r="Y8" s="39"/>
      <c r="Z8" s="40">
        <f>V8+X8</f>
        <v>0</v>
      </c>
      <c r="AA8" s="41">
        <f>Y8+W8</f>
        <v>0</v>
      </c>
      <c r="AB8" s="42">
        <f>+D8+F8+P8+R8+V8+X8+L8+J8</f>
        <v>0</v>
      </c>
      <c r="AC8" s="188">
        <f>+E8+G8+Q8+S8+W8+Y8+K8+M8</f>
        <v>0</v>
      </c>
      <c r="AD8" s="44"/>
      <c r="AE8" s="45"/>
      <c r="AG8" s="187">
        <f>E8+W8+Q8+K8</f>
        <v>0</v>
      </c>
      <c r="AI8" s="45">
        <f>G8+Y8+S8+M8</f>
        <v>0</v>
      </c>
      <c r="AK8" s="139">
        <f>F8+R8+X8+L8</f>
        <v>0</v>
      </c>
      <c r="AM8" s="139">
        <f>+D8+P8+V8+J8</f>
        <v>0</v>
      </c>
    </row>
    <row r="9" spans="1:39" x14ac:dyDescent="0.25">
      <c r="B9" s="174">
        <v>6320</v>
      </c>
      <c r="C9" s="264" t="s">
        <v>14</v>
      </c>
      <c r="D9" s="47"/>
      <c r="E9" s="48">
        <f t="shared" ref="E9:E19" si="1">+D9*B9</f>
        <v>0</v>
      </c>
      <c r="F9" s="49"/>
      <c r="G9" s="50"/>
      <c r="H9" s="51">
        <f>D9+F9</f>
        <v>0</v>
      </c>
      <c r="I9" s="52">
        <f>G9+E9</f>
        <v>0</v>
      </c>
      <c r="J9" s="203"/>
      <c r="K9" s="248">
        <f t="shared" ref="K9:K19" si="2">+J9*B9</f>
        <v>0</v>
      </c>
      <c r="L9" s="223"/>
      <c r="M9" s="206"/>
      <c r="N9" s="195">
        <f>J9+L9</f>
        <v>0</v>
      </c>
      <c r="O9" s="196">
        <f>M9+K9</f>
        <v>0</v>
      </c>
      <c r="P9" s="53"/>
      <c r="Q9" s="56">
        <f t="shared" ref="Q9:Q19" si="3">+P9*B9</f>
        <v>0</v>
      </c>
      <c r="R9" s="55"/>
      <c r="S9" s="56"/>
      <c r="T9" s="57">
        <f>P9+R9</f>
        <v>0</v>
      </c>
      <c r="U9" s="58">
        <f>S9+Q9</f>
        <v>0</v>
      </c>
      <c r="V9" s="59"/>
      <c r="W9" s="60">
        <f t="shared" si="0"/>
        <v>0</v>
      </c>
      <c r="X9" s="61"/>
      <c r="Y9" s="62"/>
      <c r="Z9" s="63">
        <f>V9+X9</f>
        <v>0</v>
      </c>
      <c r="AA9" s="41">
        <f>Y9+W9</f>
        <v>0</v>
      </c>
      <c r="AB9" s="42">
        <f t="shared" ref="AB9:AB22" si="4">+D9+F9+P9+R9+V9+X9+L9+J9</f>
        <v>0</v>
      </c>
      <c r="AC9" s="266">
        <f t="shared" ref="AC9:AC22" si="5">+E9+G9+Q9+S9+W9+Y9+K9+M9</f>
        <v>0</v>
      </c>
      <c r="AD9" s="44"/>
      <c r="AE9" s="64"/>
      <c r="AG9" s="251">
        <f t="shared" ref="AG9:AG22" si="6">E9+W9+Q9+K9</f>
        <v>0</v>
      </c>
      <c r="AI9" s="64">
        <f t="shared" ref="AI9:AI22" si="7">G9+Y9+S9+M9</f>
        <v>0</v>
      </c>
      <c r="AK9" s="142">
        <f t="shared" ref="AK9:AK22" si="8">F9+R9+X9+L9</f>
        <v>0</v>
      </c>
      <c r="AM9" s="142">
        <f t="shared" ref="AM9:AM22" si="9">+D9+P9+V9+J9</f>
        <v>0</v>
      </c>
    </row>
    <row r="10" spans="1:39" x14ac:dyDescent="0.25">
      <c r="B10" s="174">
        <v>6320</v>
      </c>
      <c r="C10" s="46" t="s">
        <v>16</v>
      </c>
      <c r="D10" s="47"/>
      <c r="E10" s="48">
        <f t="shared" si="1"/>
        <v>0</v>
      </c>
      <c r="F10" s="49"/>
      <c r="G10" s="50"/>
      <c r="H10" s="51">
        <f t="shared" ref="H10:H22" si="10">D10+F10</f>
        <v>0</v>
      </c>
      <c r="I10" s="52">
        <f t="shared" ref="I10:I22" si="11">G10+E10</f>
        <v>0</v>
      </c>
      <c r="J10" s="203"/>
      <c r="K10" s="248">
        <f t="shared" si="2"/>
        <v>0</v>
      </c>
      <c r="L10" s="223"/>
      <c r="M10" s="206"/>
      <c r="N10" s="195">
        <f t="shared" ref="N10:N22" si="12">J10+L10</f>
        <v>0</v>
      </c>
      <c r="O10" s="196">
        <f t="shared" ref="O10:O22" si="13">M10+K10</f>
        <v>0</v>
      </c>
      <c r="P10" s="53"/>
      <c r="Q10" s="56">
        <f t="shared" si="3"/>
        <v>0</v>
      </c>
      <c r="R10" s="55"/>
      <c r="S10" s="56"/>
      <c r="T10" s="57">
        <f t="shared" ref="T10:T22" si="14">P10+R10</f>
        <v>0</v>
      </c>
      <c r="U10" s="58">
        <f t="shared" ref="U10:U22" si="15">S10+Q10</f>
        <v>0</v>
      </c>
      <c r="V10" s="59"/>
      <c r="W10" s="60">
        <f t="shared" si="0"/>
        <v>0</v>
      </c>
      <c r="X10" s="61"/>
      <c r="Y10" s="62"/>
      <c r="Z10" s="63">
        <f t="shared" ref="Z10:Z22" si="16">V10+X10</f>
        <v>0</v>
      </c>
      <c r="AA10" s="41">
        <f t="shared" ref="AA10:AA22" si="17">Y10+W10</f>
        <v>0</v>
      </c>
      <c r="AB10" s="42">
        <f t="shared" si="4"/>
        <v>0</v>
      </c>
      <c r="AC10" s="188">
        <f t="shared" si="5"/>
        <v>0</v>
      </c>
      <c r="AD10" s="44"/>
      <c r="AE10" s="64"/>
      <c r="AG10" s="218">
        <f t="shared" si="6"/>
        <v>0</v>
      </c>
      <c r="AI10" s="64">
        <f t="shared" si="7"/>
        <v>0</v>
      </c>
      <c r="AK10" s="142">
        <f t="shared" si="8"/>
        <v>0</v>
      </c>
      <c r="AM10" s="142">
        <f t="shared" si="9"/>
        <v>0</v>
      </c>
    </row>
    <row r="11" spans="1:39" x14ac:dyDescent="0.25">
      <c r="B11" s="174">
        <v>6320</v>
      </c>
      <c r="C11" s="153" t="s">
        <v>17</v>
      </c>
      <c r="D11" s="65"/>
      <c r="E11" s="48">
        <f t="shared" si="1"/>
        <v>0</v>
      </c>
      <c r="F11" s="49"/>
      <c r="G11" s="50"/>
      <c r="H11" s="51">
        <f t="shared" si="10"/>
        <v>0</v>
      </c>
      <c r="I11" s="52">
        <f t="shared" si="11"/>
        <v>0</v>
      </c>
      <c r="J11" s="207"/>
      <c r="K11" s="248">
        <f t="shared" si="2"/>
        <v>0</v>
      </c>
      <c r="L11" s="223"/>
      <c r="M11" s="206"/>
      <c r="N11" s="195">
        <f t="shared" si="12"/>
        <v>0</v>
      </c>
      <c r="O11" s="196">
        <f t="shared" si="13"/>
        <v>0</v>
      </c>
      <c r="P11" s="66"/>
      <c r="Q11" s="56">
        <f t="shared" si="3"/>
        <v>0</v>
      </c>
      <c r="R11" s="67">
        <v>11</v>
      </c>
      <c r="S11" s="56">
        <f>6320*11</f>
        <v>69520</v>
      </c>
      <c r="T11" s="57">
        <f t="shared" si="14"/>
        <v>11</v>
      </c>
      <c r="U11" s="58">
        <f t="shared" si="15"/>
        <v>69520</v>
      </c>
      <c r="V11" s="68"/>
      <c r="W11" s="60">
        <f t="shared" si="0"/>
        <v>0</v>
      </c>
      <c r="X11" s="69"/>
      <c r="Y11" s="62"/>
      <c r="Z11" s="63">
        <f t="shared" si="16"/>
        <v>0</v>
      </c>
      <c r="AA11" s="41">
        <f t="shared" si="17"/>
        <v>0</v>
      </c>
      <c r="AB11" s="152">
        <f t="shared" si="4"/>
        <v>11</v>
      </c>
      <c r="AC11" s="220">
        <f t="shared" si="5"/>
        <v>69520</v>
      </c>
      <c r="AD11" s="70"/>
      <c r="AE11" s="64"/>
      <c r="AG11" s="218">
        <f t="shared" si="6"/>
        <v>0</v>
      </c>
      <c r="AI11" s="151">
        <f t="shared" si="7"/>
        <v>69520</v>
      </c>
      <c r="AK11" s="142">
        <f t="shared" si="8"/>
        <v>11</v>
      </c>
      <c r="AM11" s="142">
        <f t="shared" si="9"/>
        <v>0</v>
      </c>
    </row>
    <row r="12" spans="1:39" x14ac:dyDescent="0.25">
      <c r="B12" s="174">
        <v>6320</v>
      </c>
      <c r="C12" s="46" t="s">
        <v>18</v>
      </c>
      <c r="D12" s="65"/>
      <c r="E12" s="48">
        <f t="shared" si="1"/>
        <v>0</v>
      </c>
      <c r="F12" s="49"/>
      <c r="G12" s="50"/>
      <c r="H12" s="51">
        <f t="shared" si="10"/>
        <v>0</v>
      </c>
      <c r="I12" s="52">
        <f t="shared" si="11"/>
        <v>0</v>
      </c>
      <c r="J12" s="207"/>
      <c r="K12" s="248">
        <f t="shared" si="2"/>
        <v>0</v>
      </c>
      <c r="L12" s="223"/>
      <c r="M12" s="206"/>
      <c r="N12" s="195">
        <f t="shared" si="12"/>
        <v>0</v>
      </c>
      <c r="O12" s="196">
        <f t="shared" si="13"/>
        <v>0</v>
      </c>
      <c r="P12" s="66"/>
      <c r="Q12" s="56">
        <f t="shared" si="3"/>
        <v>0</v>
      </c>
      <c r="R12" s="67"/>
      <c r="S12" s="56"/>
      <c r="T12" s="57">
        <f t="shared" si="14"/>
        <v>0</v>
      </c>
      <c r="U12" s="58">
        <f t="shared" si="15"/>
        <v>0</v>
      </c>
      <c r="V12" s="68"/>
      <c r="W12" s="60">
        <f t="shared" si="0"/>
        <v>0</v>
      </c>
      <c r="X12" s="69"/>
      <c r="Y12" s="62"/>
      <c r="Z12" s="63">
        <f t="shared" si="16"/>
        <v>0</v>
      </c>
      <c r="AA12" s="41">
        <f t="shared" si="17"/>
        <v>0</v>
      </c>
      <c r="AB12" s="42">
        <f t="shared" si="4"/>
        <v>0</v>
      </c>
      <c r="AC12" s="188">
        <f t="shared" si="5"/>
        <v>0</v>
      </c>
      <c r="AD12" s="71"/>
      <c r="AE12" s="64"/>
      <c r="AG12" s="218">
        <f t="shared" si="6"/>
        <v>0</v>
      </c>
      <c r="AI12" s="64">
        <f t="shared" si="7"/>
        <v>0</v>
      </c>
      <c r="AK12" s="142">
        <f t="shared" si="8"/>
        <v>0</v>
      </c>
      <c r="AM12" s="142">
        <f t="shared" si="9"/>
        <v>0</v>
      </c>
    </row>
    <row r="13" spans="1:39" x14ac:dyDescent="0.25">
      <c r="B13" s="174">
        <v>6320</v>
      </c>
      <c r="C13" s="46" t="s">
        <v>19</v>
      </c>
      <c r="D13" s="65"/>
      <c r="E13" s="48">
        <f t="shared" si="1"/>
        <v>0</v>
      </c>
      <c r="F13" s="49"/>
      <c r="G13" s="50"/>
      <c r="H13" s="51">
        <f t="shared" si="10"/>
        <v>0</v>
      </c>
      <c r="I13" s="52">
        <f t="shared" si="11"/>
        <v>0</v>
      </c>
      <c r="J13" s="207"/>
      <c r="K13" s="248">
        <f t="shared" si="2"/>
        <v>0</v>
      </c>
      <c r="L13" s="223"/>
      <c r="M13" s="206"/>
      <c r="N13" s="195">
        <f t="shared" si="12"/>
        <v>0</v>
      </c>
      <c r="O13" s="196">
        <f t="shared" si="13"/>
        <v>0</v>
      </c>
      <c r="P13" s="66"/>
      <c r="Q13" s="56">
        <f t="shared" si="3"/>
        <v>0</v>
      </c>
      <c r="R13" s="67"/>
      <c r="S13" s="56"/>
      <c r="T13" s="57">
        <f t="shared" si="14"/>
        <v>0</v>
      </c>
      <c r="U13" s="58">
        <f t="shared" si="15"/>
        <v>0</v>
      </c>
      <c r="V13" s="68"/>
      <c r="W13" s="60">
        <f t="shared" si="0"/>
        <v>0</v>
      </c>
      <c r="X13" s="69"/>
      <c r="Y13" s="62"/>
      <c r="Z13" s="63">
        <f t="shared" si="16"/>
        <v>0</v>
      </c>
      <c r="AA13" s="41">
        <f t="shared" si="17"/>
        <v>0</v>
      </c>
      <c r="AB13" s="42">
        <f t="shared" si="4"/>
        <v>0</v>
      </c>
      <c r="AC13" s="188">
        <f t="shared" si="5"/>
        <v>0</v>
      </c>
      <c r="AD13" s="70"/>
      <c r="AE13" s="64"/>
      <c r="AG13" s="218">
        <f t="shared" si="6"/>
        <v>0</v>
      </c>
      <c r="AI13" s="64">
        <f t="shared" si="7"/>
        <v>0</v>
      </c>
      <c r="AK13" s="142">
        <f t="shared" si="8"/>
        <v>0</v>
      </c>
      <c r="AM13" s="142">
        <f t="shared" si="9"/>
        <v>0</v>
      </c>
    </row>
    <row r="14" spans="1:39" x14ac:dyDescent="0.25">
      <c r="B14" s="174">
        <v>6320</v>
      </c>
      <c r="C14" s="46" t="s">
        <v>20</v>
      </c>
      <c r="D14" s="65"/>
      <c r="E14" s="48">
        <f t="shared" si="1"/>
        <v>0</v>
      </c>
      <c r="F14" s="49"/>
      <c r="G14" s="50"/>
      <c r="H14" s="51">
        <f t="shared" si="10"/>
        <v>0</v>
      </c>
      <c r="I14" s="52">
        <f t="shared" si="11"/>
        <v>0</v>
      </c>
      <c r="J14" s="207"/>
      <c r="K14" s="248">
        <f t="shared" si="2"/>
        <v>0</v>
      </c>
      <c r="L14" s="223"/>
      <c r="M14" s="206"/>
      <c r="N14" s="195">
        <f t="shared" si="12"/>
        <v>0</v>
      </c>
      <c r="O14" s="196">
        <f t="shared" si="13"/>
        <v>0</v>
      </c>
      <c r="P14" s="66"/>
      <c r="Q14" s="56">
        <f t="shared" si="3"/>
        <v>0</v>
      </c>
      <c r="R14" s="67"/>
      <c r="S14" s="56"/>
      <c r="T14" s="57">
        <f t="shared" si="14"/>
        <v>0</v>
      </c>
      <c r="U14" s="58">
        <f t="shared" si="15"/>
        <v>0</v>
      </c>
      <c r="V14" s="68"/>
      <c r="W14" s="60">
        <f t="shared" si="0"/>
        <v>0</v>
      </c>
      <c r="X14" s="69"/>
      <c r="Y14" s="62"/>
      <c r="Z14" s="63">
        <f t="shared" si="16"/>
        <v>0</v>
      </c>
      <c r="AA14" s="41">
        <f t="shared" si="17"/>
        <v>0</v>
      </c>
      <c r="AB14" s="42">
        <f t="shared" si="4"/>
        <v>0</v>
      </c>
      <c r="AC14" s="188">
        <f t="shared" si="5"/>
        <v>0</v>
      </c>
      <c r="AD14" s="70"/>
      <c r="AE14" s="64"/>
      <c r="AG14" s="218">
        <f t="shared" si="6"/>
        <v>0</v>
      </c>
      <c r="AI14" s="64">
        <f t="shared" si="7"/>
        <v>0</v>
      </c>
      <c r="AK14" s="142">
        <f t="shared" si="8"/>
        <v>0</v>
      </c>
      <c r="AM14" s="142">
        <f t="shared" si="9"/>
        <v>0</v>
      </c>
    </row>
    <row r="15" spans="1:39" x14ac:dyDescent="0.25">
      <c r="B15" s="174">
        <v>6320</v>
      </c>
      <c r="C15" s="46" t="s">
        <v>21</v>
      </c>
      <c r="D15" s="65"/>
      <c r="E15" s="48">
        <f t="shared" si="1"/>
        <v>0</v>
      </c>
      <c r="F15" s="49"/>
      <c r="G15" s="50"/>
      <c r="H15" s="51">
        <f t="shared" si="10"/>
        <v>0</v>
      </c>
      <c r="I15" s="52">
        <f t="shared" si="11"/>
        <v>0</v>
      </c>
      <c r="J15" s="207"/>
      <c r="K15" s="248">
        <f t="shared" si="2"/>
        <v>0</v>
      </c>
      <c r="L15" s="223"/>
      <c r="M15" s="206"/>
      <c r="N15" s="195">
        <f t="shared" si="12"/>
        <v>0</v>
      </c>
      <c r="O15" s="196">
        <f t="shared" si="13"/>
        <v>0</v>
      </c>
      <c r="P15" s="66"/>
      <c r="Q15" s="56">
        <f t="shared" si="3"/>
        <v>0</v>
      </c>
      <c r="R15" s="67"/>
      <c r="S15" s="56"/>
      <c r="T15" s="57">
        <f t="shared" si="14"/>
        <v>0</v>
      </c>
      <c r="U15" s="58">
        <f t="shared" si="15"/>
        <v>0</v>
      </c>
      <c r="V15" s="68"/>
      <c r="W15" s="60">
        <f t="shared" si="0"/>
        <v>0</v>
      </c>
      <c r="X15" s="69"/>
      <c r="Y15" s="62"/>
      <c r="Z15" s="63">
        <f t="shared" si="16"/>
        <v>0</v>
      </c>
      <c r="AA15" s="41">
        <f t="shared" si="17"/>
        <v>0</v>
      </c>
      <c r="AB15" s="42">
        <f t="shared" si="4"/>
        <v>0</v>
      </c>
      <c r="AC15" s="188">
        <f t="shared" si="5"/>
        <v>0</v>
      </c>
      <c r="AD15" s="70"/>
      <c r="AE15" s="64"/>
      <c r="AG15" s="218">
        <f t="shared" si="6"/>
        <v>0</v>
      </c>
      <c r="AI15" s="64">
        <f t="shared" si="7"/>
        <v>0</v>
      </c>
      <c r="AK15" s="142">
        <f t="shared" si="8"/>
        <v>0</v>
      </c>
      <c r="AM15" s="142">
        <f t="shared" si="9"/>
        <v>0</v>
      </c>
    </row>
    <row r="16" spans="1:39" x14ac:dyDescent="0.25">
      <c r="B16" s="174" t="s">
        <v>26</v>
      </c>
      <c r="C16" s="46" t="s">
        <v>33</v>
      </c>
      <c r="D16" s="65"/>
      <c r="E16" s="48">
        <v>0</v>
      </c>
      <c r="F16" s="49"/>
      <c r="G16" s="50"/>
      <c r="H16" s="51">
        <f t="shared" si="10"/>
        <v>0</v>
      </c>
      <c r="I16" s="52">
        <f t="shared" si="11"/>
        <v>0</v>
      </c>
      <c r="J16" s="207"/>
      <c r="K16" s="248">
        <v>0</v>
      </c>
      <c r="L16" s="223"/>
      <c r="M16" s="206"/>
      <c r="N16" s="195">
        <f t="shared" si="12"/>
        <v>0</v>
      </c>
      <c r="O16" s="196">
        <f t="shared" si="13"/>
        <v>0</v>
      </c>
      <c r="P16" s="66"/>
      <c r="Q16" s="56">
        <v>0</v>
      </c>
      <c r="R16" s="67"/>
      <c r="S16" s="56"/>
      <c r="T16" s="57">
        <f t="shared" si="14"/>
        <v>0</v>
      </c>
      <c r="U16" s="58">
        <v>0</v>
      </c>
      <c r="V16" s="68"/>
      <c r="W16" s="60">
        <v>0</v>
      </c>
      <c r="X16" s="69"/>
      <c r="Y16" s="62"/>
      <c r="Z16" s="63">
        <f>+X16+V16</f>
        <v>0</v>
      </c>
      <c r="AA16" s="41">
        <f>+Y16+W16</f>
        <v>0</v>
      </c>
      <c r="AB16" s="42">
        <f t="shared" si="4"/>
        <v>0</v>
      </c>
      <c r="AC16" s="188">
        <f t="shared" si="5"/>
        <v>0</v>
      </c>
      <c r="AD16" s="70"/>
      <c r="AE16" s="64"/>
      <c r="AG16" s="218">
        <f t="shared" si="6"/>
        <v>0</v>
      </c>
      <c r="AI16" s="64">
        <f t="shared" si="7"/>
        <v>0</v>
      </c>
      <c r="AK16" s="142">
        <f t="shared" si="8"/>
        <v>0</v>
      </c>
      <c r="AM16" s="142">
        <f t="shared" si="9"/>
        <v>0</v>
      </c>
    </row>
    <row r="17" spans="2:41" x14ac:dyDescent="0.25">
      <c r="B17" s="175">
        <v>14010</v>
      </c>
      <c r="C17" s="46" t="s">
        <v>23</v>
      </c>
      <c r="D17" s="65"/>
      <c r="E17" s="48">
        <f t="shared" si="1"/>
        <v>0</v>
      </c>
      <c r="F17" s="49"/>
      <c r="G17" s="50"/>
      <c r="H17" s="51">
        <f t="shared" si="10"/>
        <v>0</v>
      </c>
      <c r="I17" s="52">
        <f t="shared" si="11"/>
        <v>0</v>
      </c>
      <c r="J17" s="207"/>
      <c r="K17" s="248">
        <f t="shared" si="2"/>
        <v>0</v>
      </c>
      <c r="L17" s="223"/>
      <c r="M17" s="206"/>
      <c r="N17" s="195">
        <f t="shared" si="12"/>
        <v>0</v>
      </c>
      <c r="O17" s="196">
        <f t="shared" si="13"/>
        <v>0</v>
      </c>
      <c r="P17" s="66"/>
      <c r="Q17" s="56">
        <f t="shared" si="3"/>
        <v>0</v>
      </c>
      <c r="R17" s="67"/>
      <c r="S17" s="56"/>
      <c r="T17" s="57">
        <f t="shared" si="14"/>
        <v>0</v>
      </c>
      <c r="U17" s="58">
        <f t="shared" si="15"/>
        <v>0</v>
      </c>
      <c r="V17" s="68"/>
      <c r="W17" s="60">
        <f t="shared" si="0"/>
        <v>0</v>
      </c>
      <c r="X17" s="69"/>
      <c r="Y17" s="62"/>
      <c r="Z17" s="63">
        <f t="shared" si="16"/>
        <v>0</v>
      </c>
      <c r="AA17" s="41">
        <f t="shared" si="17"/>
        <v>0</v>
      </c>
      <c r="AB17" s="42">
        <f t="shared" si="4"/>
        <v>0</v>
      </c>
      <c r="AC17" s="188">
        <f t="shared" si="5"/>
        <v>0</v>
      </c>
      <c r="AD17" s="70"/>
      <c r="AE17" s="64"/>
      <c r="AG17" s="218">
        <f t="shared" si="6"/>
        <v>0</v>
      </c>
      <c r="AI17" s="64">
        <f t="shared" si="7"/>
        <v>0</v>
      </c>
      <c r="AK17" s="142">
        <f t="shared" si="8"/>
        <v>0</v>
      </c>
      <c r="AM17" s="142">
        <f t="shared" si="9"/>
        <v>0</v>
      </c>
    </row>
    <row r="18" spans="2:41" x14ac:dyDescent="0.25">
      <c r="B18" s="174">
        <v>11870</v>
      </c>
      <c r="C18" s="46" t="s">
        <v>24</v>
      </c>
      <c r="D18" s="65"/>
      <c r="E18" s="48">
        <f t="shared" si="1"/>
        <v>0</v>
      </c>
      <c r="F18" s="49"/>
      <c r="G18" s="50"/>
      <c r="H18" s="51">
        <f t="shared" si="10"/>
        <v>0</v>
      </c>
      <c r="I18" s="52">
        <f t="shared" si="11"/>
        <v>0</v>
      </c>
      <c r="J18" s="207"/>
      <c r="K18" s="248">
        <f t="shared" si="2"/>
        <v>0</v>
      </c>
      <c r="L18" s="223"/>
      <c r="M18" s="206"/>
      <c r="N18" s="195">
        <f t="shared" si="12"/>
        <v>0</v>
      </c>
      <c r="O18" s="196">
        <f t="shared" si="13"/>
        <v>0</v>
      </c>
      <c r="P18" s="66"/>
      <c r="Q18" s="56">
        <f t="shared" si="3"/>
        <v>0</v>
      </c>
      <c r="R18" s="67"/>
      <c r="S18" s="56"/>
      <c r="T18" s="57">
        <f t="shared" si="14"/>
        <v>0</v>
      </c>
      <c r="U18" s="58">
        <f t="shared" si="15"/>
        <v>0</v>
      </c>
      <c r="V18" s="68"/>
      <c r="W18" s="60">
        <f t="shared" si="0"/>
        <v>0</v>
      </c>
      <c r="X18" s="69"/>
      <c r="Y18" s="62"/>
      <c r="Z18" s="63">
        <f t="shared" si="16"/>
        <v>0</v>
      </c>
      <c r="AA18" s="41">
        <f t="shared" si="17"/>
        <v>0</v>
      </c>
      <c r="AB18" s="42">
        <f t="shared" si="4"/>
        <v>0</v>
      </c>
      <c r="AC18" s="188">
        <f t="shared" si="5"/>
        <v>0</v>
      </c>
      <c r="AD18" s="70"/>
      <c r="AE18" s="64"/>
      <c r="AG18" s="218">
        <f t="shared" si="6"/>
        <v>0</v>
      </c>
      <c r="AI18" s="64">
        <f t="shared" si="7"/>
        <v>0</v>
      </c>
      <c r="AK18" s="142">
        <f t="shared" si="8"/>
        <v>0</v>
      </c>
      <c r="AM18" s="142">
        <f t="shared" si="9"/>
        <v>0</v>
      </c>
    </row>
    <row r="19" spans="2:41" x14ac:dyDescent="0.25">
      <c r="B19" s="174">
        <v>6710</v>
      </c>
      <c r="C19" s="46" t="s">
        <v>0</v>
      </c>
      <c r="D19" s="65"/>
      <c r="E19" s="48">
        <f t="shared" si="1"/>
        <v>0</v>
      </c>
      <c r="F19" s="72"/>
      <c r="G19" s="50"/>
      <c r="H19" s="51">
        <f t="shared" si="10"/>
        <v>0</v>
      </c>
      <c r="I19" s="52">
        <f t="shared" si="11"/>
        <v>0</v>
      </c>
      <c r="J19" s="207"/>
      <c r="K19" s="248">
        <f t="shared" si="2"/>
        <v>0</v>
      </c>
      <c r="L19" s="224"/>
      <c r="M19" s="206"/>
      <c r="N19" s="195">
        <f t="shared" si="12"/>
        <v>0</v>
      </c>
      <c r="O19" s="196">
        <f t="shared" si="13"/>
        <v>0</v>
      </c>
      <c r="P19" s="66"/>
      <c r="Q19" s="56">
        <f t="shared" si="3"/>
        <v>0</v>
      </c>
      <c r="R19" s="73"/>
      <c r="S19" s="56"/>
      <c r="T19" s="57">
        <f t="shared" si="14"/>
        <v>0</v>
      </c>
      <c r="U19" s="58">
        <f t="shared" si="15"/>
        <v>0</v>
      </c>
      <c r="V19" s="68"/>
      <c r="W19" s="60">
        <f t="shared" si="0"/>
        <v>0</v>
      </c>
      <c r="X19" s="74"/>
      <c r="Y19" s="62"/>
      <c r="Z19" s="63">
        <f t="shared" si="16"/>
        <v>0</v>
      </c>
      <c r="AA19" s="41">
        <f t="shared" si="17"/>
        <v>0</v>
      </c>
      <c r="AB19" s="42">
        <f t="shared" si="4"/>
        <v>0</v>
      </c>
      <c r="AC19" s="188">
        <f t="shared" si="5"/>
        <v>0</v>
      </c>
      <c r="AD19" s="70"/>
      <c r="AE19" s="64"/>
      <c r="AF19" s="1" t="s">
        <v>25</v>
      </c>
      <c r="AG19" s="218">
        <f t="shared" si="6"/>
        <v>0</v>
      </c>
      <c r="AI19" s="64">
        <f t="shared" si="7"/>
        <v>0</v>
      </c>
      <c r="AK19" s="142">
        <f t="shared" si="8"/>
        <v>0</v>
      </c>
      <c r="AM19" s="142">
        <f t="shared" si="9"/>
        <v>0</v>
      </c>
    </row>
    <row r="20" spans="2:41" x14ac:dyDescent="0.25">
      <c r="B20" s="174" t="s">
        <v>26</v>
      </c>
      <c r="C20" s="46" t="s">
        <v>0</v>
      </c>
      <c r="D20" s="65"/>
      <c r="E20" s="48">
        <v>0</v>
      </c>
      <c r="F20" s="49"/>
      <c r="G20" s="50"/>
      <c r="H20" s="51">
        <f t="shared" si="10"/>
        <v>0</v>
      </c>
      <c r="I20" s="52">
        <f t="shared" si="11"/>
        <v>0</v>
      </c>
      <c r="J20" s="207"/>
      <c r="K20" s="248">
        <v>0</v>
      </c>
      <c r="L20" s="223"/>
      <c r="M20" s="206"/>
      <c r="N20" s="195">
        <f t="shared" si="12"/>
        <v>0</v>
      </c>
      <c r="O20" s="196">
        <f t="shared" si="13"/>
        <v>0</v>
      </c>
      <c r="P20" s="66"/>
      <c r="Q20" s="56">
        <v>0</v>
      </c>
      <c r="R20" s="67"/>
      <c r="S20" s="56"/>
      <c r="T20" s="57">
        <f t="shared" si="14"/>
        <v>0</v>
      </c>
      <c r="U20" s="58">
        <f t="shared" si="15"/>
        <v>0</v>
      </c>
      <c r="V20" s="68"/>
      <c r="W20" s="60">
        <v>0</v>
      </c>
      <c r="X20" s="69"/>
      <c r="Y20" s="62"/>
      <c r="Z20" s="63">
        <f t="shared" si="16"/>
        <v>0</v>
      </c>
      <c r="AA20" s="41">
        <f t="shared" si="17"/>
        <v>0</v>
      </c>
      <c r="AB20" s="42">
        <f t="shared" si="4"/>
        <v>0</v>
      </c>
      <c r="AC20" s="188">
        <f t="shared" si="5"/>
        <v>0</v>
      </c>
      <c r="AD20" s="70"/>
      <c r="AE20" s="64"/>
      <c r="AG20" s="218">
        <f t="shared" si="6"/>
        <v>0</v>
      </c>
      <c r="AI20" s="64">
        <f t="shared" si="7"/>
        <v>0</v>
      </c>
      <c r="AK20" s="142">
        <f t="shared" si="8"/>
        <v>0</v>
      </c>
      <c r="AM20" s="142">
        <f t="shared" si="9"/>
        <v>0</v>
      </c>
    </row>
    <row r="21" spans="2:41" x14ac:dyDescent="0.25">
      <c r="B21" s="174" t="s">
        <v>26</v>
      </c>
      <c r="C21" s="46" t="s">
        <v>28</v>
      </c>
      <c r="D21" s="65"/>
      <c r="E21" s="75">
        <v>0</v>
      </c>
      <c r="F21" s="49"/>
      <c r="G21" s="50"/>
      <c r="H21" s="51">
        <f t="shared" si="10"/>
        <v>0</v>
      </c>
      <c r="I21" s="52">
        <f t="shared" si="11"/>
        <v>0</v>
      </c>
      <c r="J21" s="207"/>
      <c r="K21" s="248">
        <v>0</v>
      </c>
      <c r="L21" s="223"/>
      <c r="M21" s="206"/>
      <c r="N21" s="195">
        <f t="shared" si="12"/>
        <v>0</v>
      </c>
      <c r="O21" s="196">
        <f t="shared" si="13"/>
        <v>0</v>
      </c>
      <c r="P21" s="66"/>
      <c r="Q21" s="56">
        <v>0</v>
      </c>
      <c r="R21" s="67"/>
      <c r="S21" s="56"/>
      <c r="T21" s="57">
        <f t="shared" si="14"/>
        <v>0</v>
      </c>
      <c r="U21" s="58">
        <f t="shared" si="15"/>
        <v>0</v>
      </c>
      <c r="V21" s="68"/>
      <c r="W21" s="60">
        <v>0</v>
      </c>
      <c r="X21" s="69"/>
      <c r="Y21" s="62"/>
      <c r="Z21" s="63">
        <f t="shared" si="16"/>
        <v>0</v>
      </c>
      <c r="AA21" s="41">
        <f t="shared" si="17"/>
        <v>0</v>
      </c>
      <c r="AB21" s="42">
        <f t="shared" si="4"/>
        <v>0</v>
      </c>
      <c r="AC21" s="188">
        <f t="shared" si="5"/>
        <v>0</v>
      </c>
      <c r="AD21" s="70"/>
      <c r="AE21" s="64"/>
      <c r="AG21" s="218">
        <f t="shared" si="6"/>
        <v>0</v>
      </c>
      <c r="AI21" s="64">
        <f t="shared" si="7"/>
        <v>0</v>
      </c>
      <c r="AK21" s="142">
        <f t="shared" si="8"/>
        <v>0</v>
      </c>
      <c r="AM21" s="142">
        <f t="shared" si="9"/>
        <v>0</v>
      </c>
    </row>
    <row r="22" spans="2:41" ht="15.75" thickBot="1" x14ac:dyDescent="0.3">
      <c r="B22" s="176" t="s">
        <v>26</v>
      </c>
      <c r="C22" s="76" t="s">
        <v>29</v>
      </c>
      <c r="D22" s="77"/>
      <c r="E22" s="78">
        <v>0</v>
      </c>
      <c r="F22" s="79"/>
      <c r="G22" s="80"/>
      <c r="H22" s="81">
        <f t="shared" si="10"/>
        <v>0</v>
      </c>
      <c r="I22" s="82">
        <f t="shared" si="11"/>
        <v>0</v>
      </c>
      <c r="J22" s="210"/>
      <c r="K22" s="250">
        <v>0</v>
      </c>
      <c r="L22" s="225"/>
      <c r="M22" s="213"/>
      <c r="N22" s="197">
        <f t="shared" si="12"/>
        <v>0</v>
      </c>
      <c r="O22" s="198">
        <f t="shared" si="13"/>
        <v>0</v>
      </c>
      <c r="P22" s="245"/>
      <c r="Q22" s="237">
        <v>0</v>
      </c>
      <c r="R22" s="85"/>
      <c r="S22" s="86"/>
      <c r="T22" s="87">
        <f t="shared" si="14"/>
        <v>0</v>
      </c>
      <c r="U22" s="88">
        <f t="shared" si="15"/>
        <v>0</v>
      </c>
      <c r="V22" s="89"/>
      <c r="W22" s="60">
        <v>0</v>
      </c>
      <c r="X22" s="90"/>
      <c r="Y22" s="91"/>
      <c r="Z22" s="92">
        <f t="shared" si="16"/>
        <v>0</v>
      </c>
      <c r="AA22" s="93">
        <f t="shared" si="17"/>
        <v>0</v>
      </c>
      <c r="AB22" s="42">
        <f t="shared" si="4"/>
        <v>0</v>
      </c>
      <c r="AC22" s="188">
        <f t="shared" si="5"/>
        <v>0</v>
      </c>
      <c r="AD22" s="70"/>
      <c r="AE22" s="94"/>
      <c r="AG22" s="219">
        <f t="shared" si="6"/>
        <v>0</v>
      </c>
      <c r="AI22" s="94">
        <f t="shared" si="7"/>
        <v>0</v>
      </c>
      <c r="AK22" s="144">
        <f t="shared" si="8"/>
        <v>0</v>
      </c>
      <c r="AM22" s="144">
        <f t="shared" si="9"/>
        <v>0</v>
      </c>
    </row>
    <row r="23" spans="2:41" ht="15.75" thickBot="1" x14ac:dyDescent="0.3">
      <c r="D23" s="95">
        <f t="shared" ref="D23:I23" si="18">SUM(D8:D22)</f>
        <v>0</v>
      </c>
      <c r="E23" s="96">
        <f t="shared" si="18"/>
        <v>0</v>
      </c>
      <c r="F23" s="95">
        <f t="shared" si="18"/>
        <v>0</v>
      </c>
      <c r="G23" s="97">
        <f t="shared" si="18"/>
        <v>0</v>
      </c>
      <c r="H23" s="98">
        <f t="shared" si="18"/>
        <v>0</v>
      </c>
      <c r="I23" s="99">
        <f t="shared" si="18"/>
        <v>0</v>
      </c>
      <c r="J23" s="214">
        <f t="shared" ref="J23:O23" si="19">SUM(J8:J22)</f>
        <v>0</v>
      </c>
      <c r="K23" s="226">
        <f t="shared" si="19"/>
        <v>0</v>
      </c>
      <c r="L23" s="214">
        <f t="shared" si="19"/>
        <v>0</v>
      </c>
      <c r="M23" s="216">
        <f t="shared" si="19"/>
        <v>0</v>
      </c>
      <c r="N23" s="217">
        <f t="shared" si="19"/>
        <v>0</v>
      </c>
      <c r="O23" s="99">
        <f t="shared" si="19"/>
        <v>0</v>
      </c>
      <c r="P23" s="244">
        <f t="shared" ref="P23:AA23" si="20">SUM(P8:P22)</f>
        <v>0</v>
      </c>
      <c r="Q23" s="101">
        <f t="shared" si="20"/>
        <v>0</v>
      </c>
      <c r="R23" s="100">
        <f t="shared" si="20"/>
        <v>11</v>
      </c>
      <c r="S23" s="102">
        <f t="shared" si="20"/>
        <v>69520</v>
      </c>
      <c r="T23" s="103">
        <f t="shared" si="20"/>
        <v>11</v>
      </c>
      <c r="U23" s="104">
        <f t="shared" si="20"/>
        <v>69520</v>
      </c>
      <c r="V23" s="105">
        <f t="shared" si="20"/>
        <v>0</v>
      </c>
      <c r="W23" s="106">
        <f t="shared" si="20"/>
        <v>0</v>
      </c>
      <c r="X23" s="105">
        <f t="shared" si="20"/>
        <v>0</v>
      </c>
      <c r="Y23" s="107">
        <f t="shared" si="20"/>
        <v>0</v>
      </c>
      <c r="Z23" s="108">
        <f t="shared" si="20"/>
        <v>0</v>
      </c>
      <c r="AA23" s="104">
        <f t="shared" si="20"/>
        <v>0</v>
      </c>
      <c r="AB23" s="109" t="s">
        <v>9</v>
      </c>
      <c r="AC23" s="43">
        <f>SUM(AC8:AC22)</f>
        <v>69520</v>
      </c>
      <c r="AD23" s="70"/>
      <c r="AE23" s="1">
        <f>SUM(AE8:AE22)</f>
        <v>0</v>
      </c>
      <c r="AI23" s="110"/>
      <c r="AK23" s="1">
        <f>SUM(AK8:AK22)</f>
        <v>11</v>
      </c>
      <c r="AM23" s="1">
        <f>SUM(AM8:AM22)</f>
        <v>0</v>
      </c>
      <c r="AO23" s="1">
        <f>+AK23+AM23</f>
        <v>11</v>
      </c>
    </row>
    <row r="24" spans="2:41" x14ac:dyDescent="0.25">
      <c r="G24" s="111"/>
      <c r="H24" s="111"/>
      <c r="I24" s="111"/>
      <c r="M24" s="111"/>
      <c r="N24" s="111"/>
      <c r="O24" s="111"/>
      <c r="P24" s="111"/>
      <c r="Q24" s="111"/>
      <c r="R24" s="112">
        <f>X23+F23+R23+L23</f>
        <v>11</v>
      </c>
      <c r="S24" s="113">
        <f>G23+Y23+S23+M23</f>
        <v>69520</v>
      </c>
      <c r="T24" s="111"/>
      <c r="U24" s="111"/>
      <c r="V24" s="111"/>
      <c r="W24" s="111"/>
      <c r="X24" s="111"/>
      <c r="Y24" s="111"/>
      <c r="Z24" s="111"/>
      <c r="AA24" s="111"/>
      <c r="AB24" s="2"/>
      <c r="AC24" s="70">
        <f>AA23+U23+I23+O23</f>
        <v>69520</v>
      </c>
      <c r="AD24" s="2"/>
    </row>
    <row r="25" spans="2:41" x14ac:dyDescent="0.25">
      <c r="D25" s="114" t="s">
        <v>30</v>
      </c>
      <c r="E25" s="114"/>
      <c r="G25" s="114"/>
      <c r="H25" s="114"/>
      <c r="I25" s="114"/>
      <c r="J25" s="114" t="s">
        <v>30</v>
      </c>
      <c r="K25" s="114"/>
      <c r="M25" s="114"/>
      <c r="N25" s="114"/>
      <c r="O25" s="114"/>
      <c r="P25" s="114"/>
      <c r="Q25" s="114"/>
      <c r="R25" s="114"/>
      <c r="S25" s="114"/>
      <c r="T25" s="114"/>
      <c r="U25" s="114"/>
      <c r="AA25" s="2"/>
      <c r="AB25" s="2"/>
      <c r="AC25" s="2"/>
      <c r="AD25" s="2"/>
    </row>
    <row r="26" spans="2:41" x14ac:dyDescent="0.25">
      <c r="D26" s="114"/>
      <c r="E26" s="114"/>
      <c r="J26" s="114"/>
      <c r="K26" s="114"/>
      <c r="P26" s="1"/>
      <c r="Q26" s="1"/>
      <c r="R26" s="1"/>
      <c r="S26" s="1"/>
      <c r="T26" s="1"/>
      <c r="U26" s="1"/>
      <c r="AA26" s="2"/>
      <c r="AB26" s="2"/>
      <c r="AC26" s="2"/>
      <c r="AD26" s="2"/>
    </row>
    <row r="27" spans="2:41" x14ac:dyDescent="0.25">
      <c r="C27" s="115">
        <v>20000</v>
      </c>
      <c r="D27" s="115"/>
      <c r="E27" s="115"/>
      <c r="F27" s="116"/>
      <c r="G27" s="117"/>
      <c r="H27" s="118"/>
      <c r="I27" s="119"/>
      <c r="J27" s="115"/>
      <c r="K27" s="115"/>
      <c r="L27" s="116"/>
      <c r="M27" s="117"/>
      <c r="N27" s="118"/>
      <c r="O27" s="119"/>
      <c r="P27" s="119"/>
      <c r="Q27" s="119"/>
      <c r="R27" s="119"/>
      <c r="S27" s="119"/>
      <c r="T27" s="119"/>
      <c r="U27" s="119"/>
      <c r="V27" s="119"/>
      <c r="W27" s="119"/>
      <c r="X27" s="120"/>
      <c r="Y27" s="121"/>
      <c r="Z27" s="120"/>
      <c r="AA27" s="119"/>
      <c r="AB27" s="122"/>
      <c r="AC27" s="122"/>
      <c r="AD27" s="2"/>
      <c r="AE27" s="2"/>
      <c r="AF27" s="2"/>
    </row>
    <row r="28" spans="2:41" x14ac:dyDescent="0.25">
      <c r="C28" s="115">
        <v>10000</v>
      </c>
      <c r="D28" s="115"/>
      <c r="E28" s="115"/>
      <c r="F28" s="116"/>
      <c r="G28" s="117"/>
      <c r="H28" s="118"/>
      <c r="I28" s="119"/>
      <c r="J28" s="115"/>
      <c r="K28" s="115"/>
      <c r="L28" s="116"/>
      <c r="M28" s="117"/>
      <c r="N28" s="118"/>
      <c r="O28" s="119"/>
      <c r="P28" s="119"/>
      <c r="Q28" s="119"/>
      <c r="R28" s="119"/>
      <c r="S28" s="119"/>
      <c r="T28" s="119"/>
      <c r="U28" s="119"/>
      <c r="V28" s="119"/>
      <c r="W28" s="119"/>
      <c r="X28" s="120"/>
      <c r="Y28" s="122"/>
      <c r="Z28" s="120"/>
      <c r="AA28" s="119"/>
      <c r="AB28" s="122"/>
      <c r="AC28" s="122"/>
      <c r="AD28" s="2"/>
      <c r="AE28" s="2"/>
      <c r="AF28" s="2"/>
    </row>
    <row r="29" spans="2:41" x14ac:dyDescent="0.25">
      <c r="C29" s="115">
        <v>5000</v>
      </c>
      <c r="D29" s="115"/>
      <c r="E29" s="115"/>
      <c r="F29" s="116"/>
      <c r="G29" s="117"/>
      <c r="H29" s="118"/>
      <c r="I29" s="119"/>
      <c r="J29" s="115"/>
      <c r="K29" s="115"/>
      <c r="L29" s="116"/>
      <c r="M29" s="117"/>
      <c r="N29" s="118"/>
      <c r="O29" s="119"/>
      <c r="P29" s="119"/>
      <c r="Q29" s="119"/>
      <c r="R29" s="119"/>
      <c r="S29" s="119"/>
      <c r="T29" s="119"/>
      <c r="U29" s="119"/>
      <c r="V29" s="119"/>
      <c r="W29" s="119"/>
      <c r="X29" s="120"/>
      <c r="Y29" s="121"/>
      <c r="Z29" s="120"/>
      <c r="AA29" s="119"/>
      <c r="AB29" s="122"/>
      <c r="AC29" s="122"/>
      <c r="AD29" s="2"/>
      <c r="AE29" s="2"/>
      <c r="AF29" s="2"/>
    </row>
    <row r="30" spans="2:41" x14ac:dyDescent="0.25">
      <c r="C30" s="115">
        <v>2000</v>
      </c>
      <c r="D30" s="115"/>
      <c r="E30" s="115"/>
      <c r="F30" s="116"/>
      <c r="G30" s="117"/>
      <c r="H30" s="118"/>
      <c r="I30" s="119"/>
      <c r="J30" s="115"/>
      <c r="K30" s="115"/>
      <c r="L30" s="116"/>
      <c r="M30" s="117"/>
      <c r="N30" s="118"/>
      <c r="O30" s="119"/>
      <c r="P30" s="119"/>
      <c r="Q30" s="119"/>
      <c r="R30" s="119"/>
      <c r="S30" s="119"/>
      <c r="T30" s="119"/>
      <c r="U30" s="119"/>
      <c r="V30" s="119"/>
      <c r="W30" s="119"/>
      <c r="X30" s="120"/>
      <c r="Y30" s="121"/>
      <c r="Z30" s="120"/>
      <c r="AA30" s="119"/>
      <c r="AB30" s="122"/>
      <c r="AC30" s="122"/>
      <c r="AD30" s="123"/>
    </row>
    <row r="31" spans="2:41" x14ac:dyDescent="0.25">
      <c r="C31" s="115">
        <v>1000</v>
      </c>
      <c r="D31" s="115"/>
      <c r="E31" s="115"/>
      <c r="F31" s="116"/>
      <c r="G31" s="117"/>
      <c r="H31" s="118"/>
      <c r="I31" s="124"/>
      <c r="J31" s="115"/>
      <c r="K31" s="115"/>
      <c r="L31" s="116"/>
      <c r="M31" s="117"/>
      <c r="N31" s="118"/>
      <c r="O31" s="124"/>
      <c r="P31" s="124"/>
      <c r="Q31" s="124"/>
      <c r="R31" s="124"/>
      <c r="S31" s="124"/>
      <c r="T31" s="124"/>
      <c r="U31" s="124"/>
      <c r="V31" s="124"/>
      <c r="W31" s="124"/>
      <c r="X31" s="120"/>
      <c r="Y31" s="121"/>
      <c r="Z31" s="120"/>
      <c r="AA31" s="124"/>
      <c r="AB31" s="122"/>
      <c r="AC31" s="122"/>
      <c r="AD31" s="2"/>
    </row>
    <row r="32" spans="2:41" x14ac:dyDescent="0.25">
      <c r="C32" s="115">
        <v>500</v>
      </c>
      <c r="D32" s="115"/>
      <c r="E32" s="115"/>
      <c r="F32" s="116"/>
      <c r="G32" s="117"/>
      <c r="H32" s="118"/>
      <c r="I32" s="119"/>
      <c r="J32" s="115"/>
      <c r="K32" s="115"/>
      <c r="L32" s="116"/>
      <c r="M32" s="117"/>
      <c r="N32" s="118"/>
      <c r="O32" s="119"/>
      <c r="P32" s="119"/>
      <c r="Q32" s="119"/>
      <c r="R32" s="119"/>
      <c r="S32" s="119"/>
      <c r="T32" s="119"/>
      <c r="U32" s="119"/>
      <c r="V32" s="119"/>
      <c r="W32" s="119"/>
      <c r="X32" s="120"/>
      <c r="Y32" s="121"/>
      <c r="Z32" s="120"/>
      <c r="AA32" s="119"/>
      <c r="AB32" s="121"/>
      <c r="AC32" s="121"/>
      <c r="AD32" s="2"/>
    </row>
    <row r="33" spans="2:33" x14ac:dyDescent="0.25">
      <c r="C33" s="115">
        <v>100</v>
      </c>
      <c r="D33" s="115"/>
      <c r="E33" s="115"/>
      <c r="F33" s="116"/>
      <c r="G33" s="117"/>
      <c r="H33" s="118"/>
      <c r="I33" s="119"/>
      <c r="J33" s="115"/>
      <c r="K33" s="115"/>
      <c r="L33" s="116"/>
      <c r="M33" s="117"/>
      <c r="N33" s="118"/>
      <c r="O33" s="119"/>
      <c r="P33" s="119"/>
      <c r="Q33" s="119"/>
      <c r="R33" s="119"/>
      <c r="S33" s="119"/>
      <c r="T33" s="119"/>
      <c r="U33" s="119"/>
      <c r="V33" s="119"/>
      <c r="W33" s="119"/>
      <c r="X33" s="120"/>
      <c r="Y33" s="121"/>
      <c r="Z33" s="120"/>
      <c r="AA33" s="119"/>
      <c r="AB33" s="121"/>
      <c r="AC33" s="121"/>
      <c r="AD33" s="2"/>
    </row>
    <row r="34" spans="2:33" x14ac:dyDescent="0.25">
      <c r="C34" s="115">
        <v>50</v>
      </c>
      <c r="D34" s="115"/>
      <c r="E34" s="115"/>
      <c r="F34" s="116"/>
      <c r="G34" s="117"/>
      <c r="H34" s="118"/>
      <c r="I34" s="119"/>
      <c r="J34" s="115"/>
      <c r="K34" s="115"/>
      <c r="L34" s="116"/>
      <c r="M34" s="117"/>
      <c r="N34" s="118"/>
      <c r="O34" s="119"/>
      <c r="P34" s="119"/>
      <c r="Q34" s="119"/>
      <c r="R34" s="119"/>
      <c r="S34" s="119"/>
      <c r="T34" s="119"/>
      <c r="U34" s="119"/>
      <c r="V34" s="119"/>
      <c r="W34" s="119"/>
      <c r="X34" s="120"/>
      <c r="Y34" s="121"/>
      <c r="Z34" s="120"/>
      <c r="AA34" s="119"/>
      <c r="AB34" s="121"/>
      <c r="AC34" s="121"/>
      <c r="AD34" s="2"/>
    </row>
    <row r="35" spans="2:33" x14ac:dyDescent="0.25">
      <c r="C35" s="115">
        <v>10</v>
      </c>
      <c r="D35" s="115"/>
      <c r="E35" s="115"/>
      <c r="F35" s="116"/>
      <c r="G35" s="117"/>
      <c r="H35" s="118"/>
      <c r="I35" s="119"/>
      <c r="J35" s="115"/>
      <c r="K35" s="115"/>
      <c r="L35" s="116"/>
      <c r="M35" s="117"/>
      <c r="N35" s="118"/>
      <c r="O35" s="119"/>
      <c r="P35" s="119"/>
      <c r="Q35" s="119"/>
      <c r="R35" s="119"/>
      <c r="S35" s="119"/>
      <c r="T35" s="119"/>
      <c r="U35" s="119">
        <v>69520</v>
      </c>
      <c r="V35" s="119"/>
      <c r="W35" s="119"/>
      <c r="X35" s="120"/>
      <c r="Y35" s="121"/>
      <c r="Z35" s="120"/>
      <c r="AA35" s="119"/>
      <c r="AB35" s="121"/>
      <c r="AC35" s="121"/>
      <c r="AD35" s="2"/>
      <c r="AG35" s="1" t="s">
        <v>25</v>
      </c>
    </row>
    <row r="36" spans="2:33" x14ac:dyDescent="0.25">
      <c r="C36" s="1" t="s">
        <v>32</v>
      </c>
      <c r="E36" s="131"/>
      <c r="G36" s="125"/>
      <c r="H36" s="118"/>
      <c r="I36" s="124"/>
      <c r="K36" s="131"/>
      <c r="M36" s="125"/>
      <c r="N36" s="118"/>
      <c r="O36" s="124"/>
      <c r="P36" s="124"/>
      <c r="Q36" s="124"/>
      <c r="R36" s="124"/>
      <c r="S36" s="124"/>
      <c r="T36" s="124"/>
      <c r="U36" s="124"/>
      <c r="V36" s="124"/>
      <c r="W36" s="124"/>
      <c r="X36" s="120"/>
      <c r="Y36" s="124"/>
      <c r="Z36" s="120"/>
      <c r="AA36" s="124"/>
      <c r="AB36" s="124"/>
      <c r="AC36" s="124"/>
      <c r="AD36" s="2"/>
    </row>
    <row r="37" spans="2:33" s="114" customFormat="1" ht="15.75" x14ac:dyDescent="0.25">
      <c r="F37" s="126"/>
      <c r="G37" s="127"/>
      <c r="I37" s="128">
        <f>SUM(I27:I36)</f>
        <v>0</v>
      </c>
      <c r="L37" s="126"/>
      <c r="M37" s="127"/>
      <c r="O37" s="128">
        <f>SUM(O27:O36)</f>
        <v>0</v>
      </c>
      <c r="P37" s="116"/>
      <c r="Q37" s="116"/>
      <c r="R37" s="116"/>
      <c r="S37" s="116"/>
      <c r="T37" s="116"/>
      <c r="U37" s="128">
        <f>SUM(U27:U36)</f>
        <v>69520</v>
      </c>
      <c r="V37" s="116"/>
      <c r="W37" s="116"/>
      <c r="X37" s="123"/>
      <c r="Y37" s="116"/>
      <c r="Z37" s="123"/>
      <c r="AA37" s="128">
        <f>SUM(AA27:AA36)</f>
        <v>0</v>
      </c>
      <c r="AB37" s="129"/>
      <c r="AC37" s="125">
        <f>+I37+U37+AA37+O37</f>
        <v>69520</v>
      </c>
    </row>
    <row r="38" spans="2:33" x14ac:dyDescent="0.25">
      <c r="B38" s="2"/>
      <c r="C38" s="2"/>
      <c r="D38" s="2"/>
      <c r="E38" s="70"/>
      <c r="F38" s="2"/>
      <c r="G38" s="2"/>
      <c r="H38" s="2"/>
      <c r="I38" s="2"/>
      <c r="J38" s="2"/>
      <c r="K38" s="70"/>
      <c r="L38" s="2"/>
      <c r="M38" s="2"/>
      <c r="N38" s="2"/>
      <c r="O38" s="2"/>
      <c r="X38" s="70"/>
      <c r="AA38" s="2"/>
      <c r="AB38" s="130"/>
      <c r="AC38" s="131">
        <f>AC37-AC24</f>
        <v>0</v>
      </c>
    </row>
    <row r="39" spans="2:33" x14ac:dyDescent="0.25">
      <c r="B39" s="2"/>
      <c r="C39" s="2"/>
      <c r="D39" s="2"/>
      <c r="E39" s="70"/>
      <c r="F39" s="2"/>
      <c r="G39" s="2"/>
      <c r="H39" s="2"/>
      <c r="I39" s="129"/>
      <c r="J39" s="2"/>
      <c r="K39" s="70"/>
      <c r="L39" s="2"/>
      <c r="M39" s="2"/>
      <c r="N39" s="2"/>
      <c r="O39" s="129"/>
      <c r="P39" s="2" t="s">
        <v>38</v>
      </c>
      <c r="U39" s="129"/>
      <c r="X39" s="70"/>
      <c r="AA39" s="2"/>
      <c r="AB39" s="130"/>
      <c r="AC39" s="131"/>
    </row>
    <row r="40" spans="2:33" x14ac:dyDescent="0.25">
      <c r="E40" s="110"/>
      <c r="Q40" s="133"/>
      <c r="Y40" s="1"/>
      <c r="Z40" s="1"/>
    </row>
    <row r="41" spans="2:33" x14ac:dyDescent="0.25">
      <c r="S41" s="129"/>
      <c r="T41" s="129"/>
      <c r="U41" s="129"/>
      <c r="W41" s="130"/>
    </row>
  </sheetData>
  <mergeCells count="11">
    <mergeCell ref="Q3:T3"/>
    <mergeCell ref="C4:D4"/>
    <mergeCell ref="V6:AA6"/>
    <mergeCell ref="AB6:AB7"/>
    <mergeCell ref="AC6:AC7"/>
    <mergeCell ref="AE6:AE7"/>
    <mergeCell ref="B6:B7"/>
    <mergeCell ref="C6:C7"/>
    <mergeCell ref="D6:I6"/>
    <mergeCell ref="J6:O6"/>
    <mergeCell ref="P6:U6"/>
  </mergeCells>
  <pageMargins left="0.39370078740157483" right="0.39370078740157483" top="0.19685039370078741" bottom="0.19685039370078741" header="0" footer="0"/>
  <pageSetup paperSize="9" orientation="landscape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7">
    <pageSetUpPr fitToPage="1"/>
  </sheetPr>
  <dimension ref="A1:AO41"/>
  <sheetViews>
    <sheetView workbookViewId="0">
      <pane xSplit="3" topLeftCell="P1" activePane="topRight" state="frozen"/>
      <selection activeCell="F4" sqref="F4"/>
      <selection pane="topRight" activeCell="X18" sqref="X18"/>
    </sheetView>
  </sheetViews>
  <sheetFormatPr baseColWidth="10" defaultRowHeight="15" x14ac:dyDescent="0.25"/>
  <cols>
    <col min="1" max="1" width="1.7109375" style="1" customWidth="1"/>
    <col min="2" max="2" width="10" style="1" customWidth="1"/>
    <col min="3" max="3" width="29.140625" style="1" customWidth="1"/>
    <col min="4" max="4" width="5.7109375" style="1" hidden="1" customWidth="1"/>
    <col min="5" max="5" width="10.7109375" style="1" hidden="1" customWidth="1"/>
    <col min="6" max="6" width="5.7109375" style="1" hidden="1" customWidth="1"/>
    <col min="7" max="7" width="10.7109375" style="1" hidden="1" customWidth="1"/>
    <col min="8" max="8" width="5.7109375" style="1" hidden="1" customWidth="1"/>
    <col min="9" max="9" width="10.7109375" style="1" hidden="1" customWidth="1"/>
    <col min="10" max="10" width="5.7109375" style="1" hidden="1" customWidth="1"/>
    <col min="11" max="11" width="10.7109375" style="1" hidden="1" customWidth="1"/>
    <col min="12" max="12" width="5.7109375" style="1" hidden="1" customWidth="1"/>
    <col min="13" max="13" width="10.7109375" style="1" hidden="1" customWidth="1"/>
    <col min="14" max="14" width="5.7109375" style="1" hidden="1" customWidth="1"/>
    <col min="15" max="15" width="10.7109375" style="1" hidden="1" customWidth="1"/>
    <col min="16" max="16" width="5.7109375" style="2" customWidth="1"/>
    <col min="17" max="17" width="10.7109375" style="2" customWidth="1"/>
    <col min="18" max="18" width="5.7109375" style="2" customWidth="1"/>
    <col min="19" max="19" width="10.7109375" style="2" customWidth="1"/>
    <col min="20" max="20" width="5.7109375" style="2" customWidth="1"/>
    <col min="21" max="21" width="10.7109375" style="2" customWidth="1"/>
    <col min="22" max="22" width="5.7109375" style="2" customWidth="1"/>
    <col min="23" max="23" width="10.7109375" style="2" customWidth="1"/>
    <col min="24" max="24" width="5.7109375" style="2" customWidth="1"/>
    <col min="25" max="25" width="10.7109375" style="2" customWidth="1"/>
    <col min="26" max="26" width="5.7109375" style="2" customWidth="1"/>
    <col min="27" max="27" width="10.7109375" style="1" customWidth="1"/>
    <col min="28" max="28" width="9.5703125" style="1" customWidth="1"/>
    <col min="29" max="29" width="14.5703125" style="1" bestFit="1" customWidth="1"/>
    <col min="30" max="30" width="3.28515625" style="1" customWidth="1"/>
    <col min="31" max="31" width="11.85546875" style="1" bestFit="1" customWidth="1"/>
    <col min="32" max="32" width="3.7109375" style="1" customWidth="1"/>
    <col min="33" max="33" width="10.140625" style="1" customWidth="1"/>
    <col min="34" max="34" width="3.7109375" style="1" customWidth="1"/>
    <col min="35" max="35" width="11.42578125" style="1"/>
    <col min="36" max="36" width="3.7109375" style="1" customWidth="1"/>
    <col min="37" max="37" width="5.7109375" style="1" customWidth="1"/>
    <col min="38" max="38" width="3.7109375" style="1" customWidth="1"/>
    <col min="39" max="39" width="5.7109375" style="1" customWidth="1"/>
    <col min="40" max="40" width="3.7109375" style="1" customWidth="1"/>
    <col min="41" max="41" width="5.7109375" style="1" customWidth="1"/>
    <col min="42" max="16384" width="11.42578125" style="1"/>
  </cols>
  <sheetData>
    <row r="1" spans="1:39" ht="5.25" customHeight="1" x14ac:dyDescent="0.25">
      <c r="Y1" s="1"/>
      <c r="Z1" s="1"/>
    </row>
    <row r="2" spans="1:39" ht="21" x14ac:dyDescent="0.35">
      <c r="B2" s="3" t="s">
        <v>0</v>
      </c>
      <c r="P2" s="1"/>
      <c r="Q2" s="4"/>
      <c r="Z2" s="1"/>
    </row>
    <row r="3" spans="1:39" ht="15" customHeight="1" x14ac:dyDescent="0.25">
      <c r="A3" s="5"/>
      <c r="B3" s="6" t="s">
        <v>1</v>
      </c>
      <c r="C3" s="7"/>
      <c r="D3" s="7"/>
      <c r="E3" s="7"/>
      <c r="F3" s="7"/>
      <c r="P3" s="1"/>
      <c r="Q3" s="353"/>
      <c r="R3" s="353"/>
      <c r="S3" s="353"/>
      <c r="T3" s="353"/>
      <c r="U3" s="252"/>
      <c r="V3" s="252"/>
      <c r="Z3" s="1"/>
    </row>
    <row r="4" spans="1:39" ht="18" customHeight="1" x14ac:dyDescent="0.25">
      <c r="B4" s="253" t="s">
        <v>2</v>
      </c>
      <c r="C4" s="354" t="s">
        <v>74</v>
      </c>
      <c r="D4" s="355"/>
      <c r="E4" s="253"/>
      <c r="F4" s="253"/>
      <c r="P4" s="1"/>
      <c r="Q4" s="9"/>
      <c r="R4" s="10"/>
      <c r="S4" s="9"/>
      <c r="T4" s="9"/>
      <c r="U4" s="9"/>
      <c r="V4" s="9"/>
      <c r="Z4" s="1"/>
    </row>
    <row r="5" spans="1:39" ht="15.75" thickBot="1" x14ac:dyDescent="0.3">
      <c r="A5" s="253"/>
      <c r="B5" s="253"/>
      <c r="C5" s="253"/>
      <c r="D5" s="253"/>
      <c r="E5" s="253"/>
      <c r="J5" s="253"/>
      <c r="K5" s="253"/>
      <c r="P5" s="1"/>
      <c r="Q5" s="1"/>
      <c r="R5" s="1"/>
      <c r="S5" s="1"/>
      <c r="T5" s="1"/>
      <c r="U5" s="1"/>
      <c r="V5" s="9"/>
      <c r="W5" s="9"/>
      <c r="X5" s="9"/>
      <c r="Y5" s="9"/>
      <c r="Z5" s="9"/>
      <c r="AA5" s="9"/>
      <c r="AB5" s="2"/>
      <c r="AC5" s="2"/>
      <c r="AD5" s="2"/>
    </row>
    <row r="6" spans="1:39" ht="27.75" customHeight="1" thickBot="1" x14ac:dyDescent="0.3">
      <c r="B6" s="356" t="s">
        <v>3</v>
      </c>
      <c r="C6" s="343" t="s">
        <v>4</v>
      </c>
      <c r="D6" s="358" t="s">
        <v>36</v>
      </c>
      <c r="E6" s="359"/>
      <c r="F6" s="360"/>
      <c r="G6" s="360"/>
      <c r="H6" s="360"/>
      <c r="I6" s="361"/>
      <c r="J6" s="370" t="s">
        <v>37</v>
      </c>
      <c r="K6" s="371"/>
      <c r="L6" s="372"/>
      <c r="M6" s="372"/>
      <c r="N6" s="372"/>
      <c r="O6" s="373"/>
      <c r="P6" s="362" t="s">
        <v>42</v>
      </c>
      <c r="Q6" s="363"/>
      <c r="R6" s="364"/>
      <c r="S6" s="364"/>
      <c r="T6" s="364"/>
      <c r="U6" s="365"/>
      <c r="V6" s="366" t="s">
        <v>31</v>
      </c>
      <c r="W6" s="367"/>
      <c r="X6" s="368"/>
      <c r="Y6" s="368"/>
      <c r="Z6" s="368"/>
      <c r="AA6" s="369"/>
      <c r="AB6" s="349" t="s">
        <v>5</v>
      </c>
      <c r="AC6" s="349" t="s">
        <v>6</v>
      </c>
      <c r="AD6" s="2"/>
      <c r="AE6" s="351" t="s">
        <v>7</v>
      </c>
      <c r="AF6" s="2"/>
    </row>
    <row r="7" spans="1:39" ht="25.5" customHeight="1" thickBot="1" x14ac:dyDescent="0.3">
      <c r="B7" s="357"/>
      <c r="C7" s="344"/>
      <c r="D7" s="11" t="s">
        <v>8</v>
      </c>
      <c r="E7" s="12" t="s">
        <v>9</v>
      </c>
      <c r="F7" s="13" t="s">
        <v>8</v>
      </c>
      <c r="G7" s="14" t="s">
        <v>9</v>
      </c>
      <c r="H7" s="11" t="s">
        <v>5</v>
      </c>
      <c r="I7" s="14" t="s">
        <v>10</v>
      </c>
      <c r="J7" s="190" t="s">
        <v>8</v>
      </c>
      <c r="K7" s="192" t="s">
        <v>9</v>
      </c>
      <c r="L7" s="191" t="s">
        <v>8</v>
      </c>
      <c r="M7" s="192" t="s">
        <v>9</v>
      </c>
      <c r="N7" s="190" t="s">
        <v>5</v>
      </c>
      <c r="O7" s="192" t="s">
        <v>10</v>
      </c>
      <c r="P7" s="15" t="s">
        <v>8</v>
      </c>
      <c r="Q7" s="16" t="s">
        <v>9</v>
      </c>
      <c r="R7" s="17" t="s">
        <v>8</v>
      </c>
      <c r="S7" s="16" t="s">
        <v>9</v>
      </c>
      <c r="T7" s="15" t="s">
        <v>5</v>
      </c>
      <c r="U7" s="16" t="s">
        <v>10</v>
      </c>
      <c r="V7" s="18" t="s">
        <v>8</v>
      </c>
      <c r="W7" s="19" t="s">
        <v>9</v>
      </c>
      <c r="X7" s="20" t="s">
        <v>8</v>
      </c>
      <c r="Y7" s="21" t="s">
        <v>9</v>
      </c>
      <c r="Z7" s="18" t="s">
        <v>5</v>
      </c>
      <c r="AA7" s="21" t="s">
        <v>10</v>
      </c>
      <c r="AB7" s="350"/>
      <c r="AC7" s="350"/>
      <c r="AD7" s="2"/>
      <c r="AE7" s="352"/>
      <c r="AG7" s="22" t="s">
        <v>11</v>
      </c>
      <c r="AI7" s="22" t="s">
        <v>12</v>
      </c>
    </row>
    <row r="8" spans="1:39" x14ac:dyDescent="0.25">
      <c r="B8" s="173">
        <v>6320</v>
      </c>
      <c r="C8" s="23" t="s">
        <v>13</v>
      </c>
      <c r="D8" s="24"/>
      <c r="E8" s="25">
        <f>+D8*B8</f>
        <v>0</v>
      </c>
      <c r="F8" s="26"/>
      <c r="G8" s="27"/>
      <c r="H8" s="28">
        <f>D8+F8</f>
        <v>0</v>
      </c>
      <c r="I8" s="29">
        <f>E8+G8</f>
        <v>0</v>
      </c>
      <c r="J8" s="199"/>
      <c r="K8" s="249">
        <f>+J8*B8</f>
        <v>0</v>
      </c>
      <c r="L8" s="222"/>
      <c r="M8" s="202"/>
      <c r="N8" s="193">
        <f>J8+L8</f>
        <v>0</v>
      </c>
      <c r="O8" s="194">
        <f>K8+M8</f>
        <v>0</v>
      </c>
      <c r="P8" s="30"/>
      <c r="Q8" s="31">
        <f>+P8*B8</f>
        <v>0</v>
      </c>
      <c r="R8" s="32"/>
      <c r="S8" s="33"/>
      <c r="T8" s="34">
        <f>P8+R8</f>
        <v>0</v>
      </c>
      <c r="U8" s="35">
        <f>Q8+S8</f>
        <v>0</v>
      </c>
      <c r="V8" s="36"/>
      <c r="W8" s="37">
        <f t="shared" ref="W8:W19" si="0">+V8*B8</f>
        <v>0</v>
      </c>
      <c r="X8" s="38"/>
      <c r="Y8" s="39"/>
      <c r="Z8" s="40">
        <f>V8+X8</f>
        <v>0</v>
      </c>
      <c r="AA8" s="41">
        <f>Y8+W8</f>
        <v>0</v>
      </c>
      <c r="AB8" s="42">
        <f>+D8+F8+P8+R8+V8+X8+J8+L8</f>
        <v>0</v>
      </c>
      <c r="AC8" s="188">
        <f>+E8+G8+Q8+S8+W8+Y8+K8+M8</f>
        <v>0</v>
      </c>
      <c r="AD8" s="44"/>
      <c r="AE8" s="45"/>
      <c r="AG8" s="187">
        <f>E8+W8+Q8+K8</f>
        <v>0</v>
      </c>
      <c r="AI8" s="45">
        <f>G8+Y8+S8+M8</f>
        <v>0</v>
      </c>
      <c r="AK8" s="139">
        <f>F8+R8+X8+L8</f>
        <v>0</v>
      </c>
      <c r="AM8" s="139">
        <f>+D8+P8+V8+J8</f>
        <v>0</v>
      </c>
    </row>
    <row r="9" spans="1:39" x14ac:dyDescent="0.25">
      <c r="B9" s="174">
        <v>6320</v>
      </c>
      <c r="C9" s="264" t="s">
        <v>14</v>
      </c>
      <c r="D9" s="47"/>
      <c r="E9" s="48">
        <f t="shared" ref="E9:E19" si="1">+D9*B9</f>
        <v>0</v>
      </c>
      <c r="F9" s="49"/>
      <c r="G9" s="50"/>
      <c r="H9" s="51">
        <f>D9+F9</f>
        <v>0</v>
      </c>
      <c r="I9" s="52">
        <f>G9+E9</f>
        <v>0</v>
      </c>
      <c r="J9" s="203"/>
      <c r="K9" s="248">
        <f t="shared" ref="K9:K19" si="2">+J9*B9</f>
        <v>0</v>
      </c>
      <c r="L9" s="223"/>
      <c r="M9" s="206"/>
      <c r="N9" s="195">
        <f>J9+L9</f>
        <v>0</v>
      </c>
      <c r="O9" s="196">
        <f>M9+K9</f>
        <v>0</v>
      </c>
      <c r="P9" s="53"/>
      <c r="Q9" s="31">
        <f t="shared" ref="Q9:Q19" si="3">+P9*B9</f>
        <v>0</v>
      </c>
      <c r="R9" s="55"/>
      <c r="S9" s="56"/>
      <c r="T9" s="57">
        <f>P9+R9</f>
        <v>0</v>
      </c>
      <c r="U9" s="58">
        <f>S9+Q9</f>
        <v>0</v>
      </c>
      <c r="V9" s="59"/>
      <c r="W9" s="60">
        <f t="shared" si="0"/>
        <v>0</v>
      </c>
      <c r="X9" s="61"/>
      <c r="Y9" s="62"/>
      <c r="Z9" s="63">
        <f>V9+X9</f>
        <v>0</v>
      </c>
      <c r="AA9" s="41">
        <f>Y9+W9</f>
        <v>0</v>
      </c>
      <c r="AB9" s="42">
        <f t="shared" ref="AB9:AB22" si="4">+D9+F9+P9+R9+V9+X9+J9+L9</f>
        <v>0</v>
      </c>
      <c r="AC9" s="266">
        <f t="shared" ref="AC9:AC22" si="5">+E9+G9+Q9+S9+W9+Y9+K9+M9</f>
        <v>0</v>
      </c>
      <c r="AD9" s="44"/>
      <c r="AE9" s="64"/>
      <c r="AG9" s="251">
        <f t="shared" ref="AG9:AG22" si="6">E9+W9+Q9+K9</f>
        <v>0</v>
      </c>
      <c r="AI9" s="64">
        <f t="shared" ref="AI9:AI22" si="7">G9+Y9+S9+M9</f>
        <v>0</v>
      </c>
      <c r="AK9" s="142">
        <f t="shared" ref="AK9:AK22" si="8">F9+R9+X9+L9</f>
        <v>0</v>
      </c>
      <c r="AM9" s="142">
        <f t="shared" ref="AM9:AM22" si="9">+D9+P9+V9+J9</f>
        <v>0</v>
      </c>
    </row>
    <row r="10" spans="1:39" x14ac:dyDescent="0.25">
      <c r="B10" s="174">
        <v>6320</v>
      </c>
      <c r="C10" s="153" t="s">
        <v>16</v>
      </c>
      <c r="D10" s="47"/>
      <c r="E10" s="48">
        <f t="shared" si="1"/>
        <v>0</v>
      </c>
      <c r="F10" s="49"/>
      <c r="G10" s="50"/>
      <c r="H10" s="51">
        <f t="shared" ref="H10:H22" si="10">D10+F10</f>
        <v>0</v>
      </c>
      <c r="I10" s="52">
        <f t="shared" ref="I10:I22" si="11">G10+E10</f>
        <v>0</v>
      </c>
      <c r="J10" s="203"/>
      <c r="K10" s="248">
        <f t="shared" si="2"/>
        <v>0</v>
      </c>
      <c r="L10" s="223"/>
      <c r="M10" s="206"/>
      <c r="N10" s="195">
        <f t="shared" ref="N10:N22" si="12">J10+L10</f>
        <v>0</v>
      </c>
      <c r="O10" s="196">
        <f t="shared" ref="O10:O22" si="13">M10+K10</f>
        <v>0</v>
      </c>
      <c r="P10" s="53"/>
      <c r="Q10" s="31">
        <f t="shared" si="3"/>
        <v>0</v>
      </c>
      <c r="R10" s="55">
        <v>4</v>
      </c>
      <c r="S10" s="56">
        <f>2528+6320*3</f>
        <v>21488</v>
      </c>
      <c r="T10" s="57">
        <f t="shared" ref="T10:T22" si="14">P10+R10</f>
        <v>4</v>
      </c>
      <c r="U10" s="58">
        <f t="shared" ref="U10:U22" si="15">S10+Q10</f>
        <v>21488</v>
      </c>
      <c r="V10" s="59"/>
      <c r="W10" s="60">
        <f t="shared" si="0"/>
        <v>0</v>
      </c>
      <c r="X10" s="61">
        <v>5</v>
      </c>
      <c r="Y10" s="62">
        <f>6320*5</f>
        <v>31600</v>
      </c>
      <c r="Z10" s="63">
        <f t="shared" ref="Z10:Z22" si="16">V10+X10</f>
        <v>5</v>
      </c>
      <c r="AA10" s="41">
        <f t="shared" ref="AA10:AA22" si="17">Y10+W10</f>
        <v>31600</v>
      </c>
      <c r="AB10" s="152">
        <f t="shared" si="4"/>
        <v>9</v>
      </c>
      <c r="AC10" s="220">
        <f t="shared" si="5"/>
        <v>53088</v>
      </c>
      <c r="AD10" s="44"/>
      <c r="AE10" s="151">
        <v>3792</v>
      </c>
      <c r="AG10" s="218">
        <f t="shared" si="6"/>
        <v>0</v>
      </c>
      <c r="AI10" s="151">
        <f t="shared" si="7"/>
        <v>53088</v>
      </c>
      <c r="AK10" s="142">
        <f t="shared" si="8"/>
        <v>9</v>
      </c>
      <c r="AM10" s="142">
        <f t="shared" si="9"/>
        <v>0</v>
      </c>
    </row>
    <row r="11" spans="1:39" x14ac:dyDescent="0.25">
      <c r="B11" s="174">
        <v>6320</v>
      </c>
      <c r="C11" s="153" t="s">
        <v>17</v>
      </c>
      <c r="D11" s="65"/>
      <c r="E11" s="48">
        <f t="shared" si="1"/>
        <v>0</v>
      </c>
      <c r="F11" s="49"/>
      <c r="G11" s="50"/>
      <c r="H11" s="51">
        <f t="shared" si="10"/>
        <v>0</v>
      </c>
      <c r="I11" s="52">
        <f t="shared" si="11"/>
        <v>0</v>
      </c>
      <c r="J11" s="207"/>
      <c r="K11" s="248">
        <f t="shared" si="2"/>
        <v>0</v>
      </c>
      <c r="L11" s="223"/>
      <c r="M11" s="206"/>
      <c r="N11" s="195">
        <f t="shared" si="12"/>
        <v>0</v>
      </c>
      <c r="O11" s="196">
        <f t="shared" si="13"/>
        <v>0</v>
      </c>
      <c r="P11" s="66"/>
      <c r="Q11" s="31">
        <f t="shared" si="3"/>
        <v>0</v>
      </c>
      <c r="R11" s="67">
        <v>8</v>
      </c>
      <c r="S11" s="56">
        <f>6320*8</f>
        <v>50560</v>
      </c>
      <c r="T11" s="57">
        <f t="shared" si="14"/>
        <v>8</v>
      </c>
      <c r="U11" s="58">
        <f t="shared" si="15"/>
        <v>50560</v>
      </c>
      <c r="V11" s="68"/>
      <c r="W11" s="60">
        <f t="shared" si="0"/>
        <v>0</v>
      </c>
      <c r="X11" s="69">
        <v>12</v>
      </c>
      <c r="Y11" s="62">
        <f>1264+1896+6320*10</f>
        <v>66360</v>
      </c>
      <c r="Z11" s="63">
        <f t="shared" si="16"/>
        <v>12</v>
      </c>
      <c r="AA11" s="41">
        <f t="shared" si="17"/>
        <v>66360</v>
      </c>
      <c r="AB11" s="152">
        <f t="shared" si="4"/>
        <v>20</v>
      </c>
      <c r="AC11" s="220">
        <f t="shared" si="5"/>
        <v>116920</v>
      </c>
      <c r="AD11" s="70"/>
      <c r="AE11" s="151">
        <f>5056+4424</f>
        <v>9480</v>
      </c>
      <c r="AG11" s="218">
        <f t="shared" si="6"/>
        <v>0</v>
      </c>
      <c r="AI11" s="151">
        <f t="shared" si="7"/>
        <v>116920</v>
      </c>
      <c r="AK11" s="142">
        <f t="shared" si="8"/>
        <v>20</v>
      </c>
      <c r="AM11" s="142">
        <f t="shared" si="9"/>
        <v>0</v>
      </c>
    </row>
    <row r="12" spans="1:39" x14ac:dyDescent="0.25">
      <c r="B12" s="174">
        <v>6320</v>
      </c>
      <c r="C12" s="46" t="s">
        <v>18</v>
      </c>
      <c r="D12" s="65"/>
      <c r="E12" s="48">
        <f t="shared" si="1"/>
        <v>0</v>
      </c>
      <c r="F12" s="49"/>
      <c r="G12" s="50"/>
      <c r="H12" s="51">
        <f t="shared" si="10"/>
        <v>0</v>
      </c>
      <c r="I12" s="52">
        <f t="shared" si="11"/>
        <v>0</v>
      </c>
      <c r="J12" s="207"/>
      <c r="K12" s="248">
        <f t="shared" si="2"/>
        <v>0</v>
      </c>
      <c r="L12" s="223"/>
      <c r="M12" s="206"/>
      <c r="N12" s="195">
        <f t="shared" si="12"/>
        <v>0</v>
      </c>
      <c r="O12" s="196">
        <f t="shared" si="13"/>
        <v>0</v>
      </c>
      <c r="P12" s="66"/>
      <c r="Q12" s="31">
        <f t="shared" si="3"/>
        <v>0</v>
      </c>
      <c r="R12" s="67"/>
      <c r="S12" s="56"/>
      <c r="T12" s="57">
        <f t="shared" si="14"/>
        <v>0</v>
      </c>
      <c r="U12" s="58">
        <f t="shared" si="15"/>
        <v>0</v>
      </c>
      <c r="V12" s="68"/>
      <c r="W12" s="60">
        <f t="shared" si="0"/>
        <v>0</v>
      </c>
      <c r="X12" s="69"/>
      <c r="Y12" s="62"/>
      <c r="Z12" s="63">
        <f t="shared" si="16"/>
        <v>0</v>
      </c>
      <c r="AA12" s="41">
        <f t="shared" si="17"/>
        <v>0</v>
      </c>
      <c r="AB12" s="42">
        <f t="shared" si="4"/>
        <v>0</v>
      </c>
      <c r="AC12" s="188">
        <f t="shared" si="5"/>
        <v>0</v>
      </c>
      <c r="AD12" s="71"/>
      <c r="AE12" s="64"/>
      <c r="AG12" s="218">
        <f t="shared" si="6"/>
        <v>0</v>
      </c>
      <c r="AI12" s="64">
        <f t="shared" si="7"/>
        <v>0</v>
      </c>
      <c r="AK12" s="142">
        <f t="shared" si="8"/>
        <v>0</v>
      </c>
      <c r="AM12" s="142">
        <f t="shared" si="9"/>
        <v>0</v>
      </c>
    </row>
    <row r="13" spans="1:39" x14ac:dyDescent="0.25">
      <c r="B13" s="174">
        <v>6320</v>
      </c>
      <c r="C13" s="46" t="s">
        <v>19</v>
      </c>
      <c r="D13" s="65"/>
      <c r="E13" s="48">
        <f t="shared" si="1"/>
        <v>0</v>
      </c>
      <c r="F13" s="49"/>
      <c r="G13" s="50"/>
      <c r="H13" s="51">
        <f t="shared" si="10"/>
        <v>0</v>
      </c>
      <c r="I13" s="52">
        <f t="shared" si="11"/>
        <v>0</v>
      </c>
      <c r="J13" s="207"/>
      <c r="K13" s="248">
        <f t="shared" si="2"/>
        <v>0</v>
      </c>
      <c r="L13" s="223"/>
      <c r="M13" s="206"/>
      <c r="N13" s="195">
        <f t="shared" si="12"/>
        <v>0</v>
      </c>
      <c r="O13" s="196">
        <f t="shared" si="13"/>
        <v>0</v>
      </c>
      <c r="P13" s="66"/>
      <c r="Q13" s="31">
        <f t="shared" si="3"/>
        <v>0</v>
      </c>
      <c r="R13" s="67"/>
      <c r="S13" s="56"/>
      <c r="T13" s="57">
        <f t="shared" si="14"/>
        <v>0</v>
      </c>
      <c r="U13" s="58">
        <f t="shared" si="15"/>
        <v>0</v>
      </c>
      <c r="V13" s="68"/>
      <c r="W13" s="60">
        <f t="shared" si="0"/>
        <v>0</v>
      </c>
      <c r="X13" s="69"/>
      <c r="Y13" s="62"/>
      <c r="Z13" s="63">
        <f t="shared" si="16"/>
        <v>0</v>
      </c>
      <c r="AA13" s="41">
        <f t="shared" si="17"/>
        <v>0</v>
      </c>
      <c r="AB13" s="42">
        <f t="shared" si="4"/>
        <v>0</v>
      </c>
      <c r="AC13" s="188">
        <f t="shared" si="5"/>
        <v>0</v>
      </c>
      <c r="AD13" s="70"/>
      <c r="AE13" s="64"/>
      <c r="AG13" s="218">
        <f t="shared" si="6"/>
        <v>0</v>
      </c>
      <c r="AI13" s="64">
        <f t="shared" si="7"/>
        <v>0</v>
      </c>
      <c r="AK13" s="142">
        <f t="shared" si="8"/>
        <v>0</v>
      </c>
      <c r="AM13" s="142">
        <f t="shared" si="9"/>
        <v>0</v>
      </c>
    </row>
    <row r="14" spans="1:39" x14ac:dyDescent="0.25">
      <c r="B14" s="174">
        <v>6320</v>
      </c>
      <c r="C14" s="153" t="s">
        <v>20</v>
      </c>
      <c r="D14" s="65"/>
      <c r="E14" s="48">
        <f t="shared" si="1"/>
        <v>0</v>
      </c>
      <c r="F14" s="49"/>
      <c r="G14" s="50"/>
      <c r="H14" s="51">
        <f t="shared" si="10"/>
        <v>0</v>
      </c>
      <c r="I14" s="52">
        <f t="shared" si="11"/>
        <v>0</v>
      </c>
      <c r="J14" s="207"/>
      <c r="K14" s="248">
        <f t="shared" si="2"/>
        <v>0</v>
      </c>
      <c r="L14" s="223"/>
      <c r="M14" s="206"/>
      <c r="N14" s="195">
        <f t="shared" si="12"/>
        <v>0</v>
      </c>
      <c r="O14" s="196">
        <f t="shared" si="13"/>
        <v>0</v>
      </c>
      <c r="P14" s="66"/>
      <c r="Q14" s="31">
        <f t="shared" si="3"/>
        <v>0</v>
      </c>
      <c r="R14" s="67">
        <v>1</v>
      </c>
      <c r="S14" s="56">
        <v>1264</v>
      </c>
      <c r="T14" s="57">
        <f t="shared" si="14"/>
        <v>1</v>
      </c>
      <c r="U14" s="58">
        <f t="shared" si="15"/>
        <v>1264</v>
      </c>
      <c r="V14" s="68"/>
      <c r="W14" s="60">
        <f t="shared" si="0"/>
        <v>0</v>
      </c>
      <c r="X14" s="69">
        <v>3</v>
      </c>
      <c r="Y14" s="62">
        <f>6320+1264*2</f>
        <v>8848</v>
      </c>
      <c r="Z14" s="63">
        <f t="shared" si="16"/>
        <v>3</v>
      </c>
      <c r="AA14" s="41">
        <f t="shared" si="17"/>
        <v>8848</v>
      </c>
      <c r="AB14" s="152">
        <f t="shared" si="4"/>
        <v>4</v>
      </c>
      <c r="AC14" s="220">
        <f t="shared" si="5"/>
        <v>10112</v>
      </c>
      <c r="AD14" s="70"/>
      <c r="AE14" s="151">
        <f>5056*3</f>
        <v>15168</v>
      </c>
      <c r="AG14" s="218">
        <f t="shared" si="6"/>
        <v>0</v>
      </c>
      <c r="AI14" s="151">
        <f t="shared" si="7"/>
        <v>10112</v>
      </c>
      <c r="AK14" s="142">
        <f t="shared" si="8"/>
        <v>4</v>
      </c>
      <c r="AM14" s="142">
        <f t="shared" si="9"/>
        <v>0</v>
      </c>
    </row>
    <row r="15" spans="1:39" x14ac:dyDescent="0.25">
      <c r="B15" s="174">
        <v>6320</v>
      </c>
      <c r="C15" s="46" t="s">
        <v>21</v>
      </c>
      <c r="D15" s="65"/>
      <c r="E15" s="48">
        <f t="shared" si="1"/>
        <v>0</v>
      </c>
      <c r="F15" s="49"/>
      <c r="G15" s="50"/>
      <c r="H15" s="51">
        <f t="shared" si="10"/>
        <v>0</v>
      </c>
      <c r="I15" s="52">
        <f t="shared" si="11"/>
        <v>0</v>
      </c>
      <c r="J15" s="207"/>
      <c r="K15" s="248">
        <f t="shared" si="2"/>
        <v>0</v>
      </c>
      <c r="L15" s="223"/>
      <c r="M15" s="206"/>
      <c r="N15" s="195">
        <f t="shared" si="12"/>
        <v>0</v>
      </c>
      <c r="O15" s="196">
        <f t="shared" si="13"/>
        <v>0</v>
      </c>
      <c r="P15" s="66"/>
      <c r="Q15" s="31">
        <f t="shared" si="3"/>
        <v>0</v>
      </c>
      <c r="R15" s="67"/>
      <c r="S15" s="56"/>
      <c r="T15" s="57">
        <f t="shared" si="14"/>
        <v>0</v>
      </c>
      <c r="U15" s="58">
        <f t="shared" si="15"/>
        <v>0</v>
      </c>
      <c r="V15" s="68"/>
      <c r="W15" s="60">
        <f t="shared" si="0"/>
        <v>0</v>
      </c>
      <c r="X15" s="69"/>
      <c r="Y15" s="62"/>
      <c r="Z15" s="63">
        <f t="shared" si="16"/>
        <v>0</v>
      </c>
      <c r="AA15" s="41">
        <f t="shared" si="17"/>
        <v>0</v>
      </c>
      <c r="AB15" s="42">
        <f t="shared" si="4"/>
        <v>0</v>
      </c>
      <c r="AC15" s="188">
        <f t="shared" si="5"/>
        <v>0</v>
      </c>
      <c r="AD15" s="70"/>
      <c r="AE15" s="64"/>
      <c r="AG15" s="218">
        <f t="shared" si="6"/>
        <v>0</v>
      </c>
      <c r="AI15" s="64">
        <f t="shared" si="7"/>
        <v>0</v>
      </c>
      <c r="AK15" s="142">
        <f t="shared" si="8"/>
        <v>0</v>
      </c>
      <c r="AM15" s="142">
        <f t="shared" si="9"/>
        <v>0</v>
      </c>
    </row>
    <row r="16" spans="1:39" x14ac:dyDescent="0.25">
      <c r="B16" s="174" t="s">
        <v>26</v>
      </c>
      <c r="C16" s="46" t="s">
        <v>33</v>
      </c>
      <c r="D16" s="65"/>
      <c r="E16" s="48">
        <v>0</v>
      </c>
      <c r="F16" s="49"/>
      <c r="G16" s="50"/>
      <c r="H16" s="51">
        <f t="shared" si="10"/>
        <v>0</v>
      </c>
      <c r="I16" s="52">
        <f t="shared" si="11"/>
        <v>0</v>
      </c>
      <c r="J16" s="207"/>
      <c r="K16" s="248">
        <v>0</v>
      </c>
      <c r="L16" s="223"/>
      <c r="M16" s="206"/>
      <c r="N16" s="195">
        <f t="shared" si="12"/>
        <v>0</v>
      </c>
      <c r="O16" s="196">
        <f t="shared" si="13"/>
        <v>0</v>
      </c>
      <c r="P16" s="66"/>
      <c r="Q16" s="31">
        <v>0</v>
      </c>
      <c r="R16" s="67"/>
      <c r="S16" s="56"/>
      <c r="T16" s="57">
        <f t="shared" si="14"/>
        <v>0</v>
      </c>
      <c r="U16" s="58">
        <v>0</v>
      </c>
      <c r="V16" s="68"/>
      <c r="W16" s="60">
        <v>0</v>
      </c>
      <c r="X16" s="69"/>
      <c r="Y16" s="62"/>
      <c r="Z16" s="63">
        <f>+X16+V16</f>
        <v>0</v>
      </c>
      <c r="AA16" s="41">
        <f>+Y16+W16</f>
        <v>0</v>
      </c>
      <c r="AB16" s="42">
        <f t="shared" si="4"/>
        <v>0</v>
      </c>
      <c r="AC16" s="188">
        <f t="shared" si="5"/>
        <v>0</v>
      </c>
      <c r="AD16" s="70"/>
      <c r="AE16" s="64"/>
      <c r="AG16" s="218">
        <f t="shared" si="6"/>
        <v>0</v>
      </c>
      <c r="AI16" s="64">
        <f t="shared" si="7"/>
        <v>0</v>
      </c>
      <c r="AK16" s="142">
        <f t="shared" si="8"/>
        <v>0</v>
      </c>
      <c r="AM16" s="142">
        <f t="shared" si="9"/>
        <v>0</v>
      </c>
    </row>
    <row r="17" spans="2:41" x14ac:dyDescent="0.25">
      <c r="B17" s="175">
        <v>14010</v>
      </c>
      <c r="C17" s="46" t="s">
        <v>23</v>
      </c>
      <c r="D17" s="65"/>
      <c r="E17" s="48">
        <f t="shared" si="1"/>
        <v>0</v>
      </c>
      <c r="F17" s="49"/>
      <c r="G17" s="50"/>
      <c r="H17" s="51">
        <f t="shared" si="10"/>
        <v>0</v>
      </c>
      <c r="I17" s="52">
        <f t="shared" si="11"/>
        <v>0</v>
      </c>
      <c r="J17" s="207"/>
      <c r="K17" s="248">
        <f t="shared" si="2"/>
        <v>0</v>
      </c>
      <c r="L17" s="223"/>
      <c r="M17" s="206"/>
      <c r="N17" s="195">
        <f t="shared" si="12"/>
        <v>0</v>
      </c>
      <c r="O17" s="196">
        <f t="shared" si="13"/>
        <v>0</v>
      </c>
      <c r="P17" s="66"/>
      <c r="Q17" s="31">
        <f t="shared" si="3"/>
        <v>0</v>
      </c>
      <c r="R17" s="67"/>
      <c r="S17" s="56"/>
      <c r="T17" s="57">
        <f t="shared" si="14"/>
        <v>0</v>
      </c>
      <c r="U17" s="58">
        <f t="shared" si="15"/>
        <v>0</v>
      </c>
      <c r="V17" s="68"/>
      <c r="W17" s="60">
        <f t="shared" si="0"/>
        <v>0</v>
      </c>
      <c r="X17" s="69"/>
      <c r="Y17" s="62"/>
      <c r="Z17" s="63">
        <f t="shared" si="16"/>
        <v>0</v>
      </c>
      <c r="AA17" s="41">
        <f t="shared" si="17"/>
        <v>0</v>
      </c>
      <c r="AB17" s="42">
        <f t="shared" si="4"/>
        <v>0</v>
      </c>
      <c r="AC17" s="188">
        <f t="shared" si="5"/>
        <v>0</v>
      </c>
      <c r="AD17" s="70"/>
      <c r="AE17" s="64"/>
      <c r="AG17" s="218">
        <f t="shared" si="6"/>
        <v>0</v>
      </c>
      <c r="AI17" s="64">
        <f t="shared" si="7"/>
        <v>0</v>
      </c>
      <c r="AK17" s="142">
        <f t="shared" si="8"/>
        <v>0</v>
      </c>
      <c r="AM17" s="142">
        <f t="shared" si="9"/>
        <v>0</v>
      </c>
    </row>
    <row r="18" spans="2:41" x14ac:dyDescent="0.25">
      <c r="B18" s="174">
        <v>11870</v>
      </c>
      <c r="C18" s="46" t="s">
        <v>24</v>
      </c>
      <c r="D18" s="65"/>
      <c r="E18" s="48">
        <f t="shared" si="1"/>
        <v>0</v>
      </c>
      <c r="F18" s="49"/>
      <c r="G18" s="50"/>
      <c r="H18" s="51">
        <f t="shared" si="10"/>
        <v>0</v>
      </c>
      <c r="I18" s="52">
        <f t="shared" si="11"/>
        <v>0</v>
      </c>
      <c r="J18" s="207"/>
      <c r="K18" s="248">
        <f t="shared" si="2"/>
        <v>0</v>
      </c>
      <c r="L18" s="223"/>
      <c r="M18" s="206"/>
      <c r="N18" s="195">
        <f t="shared" si="12"/>
        <v>0</v>
      </c>
      <c r="O18" s="196">
        <f t="shared" si="13"/>
        <v>0</v>
      </c>
      <c r="P18" s="66"/>
      <c r="Q18" s="31">
        <f t="shared" si="3"/>
        <v>0</v>
      </c>
      <c r="R18" s="67"/>
      <c r="S18" s="56"/>
      <c r="T18" s="57">
        <f t="shared" si="14"/>
        <v>0</v>
      </c>
      <c r="U18" s="58">
        <f t="shared" si="15"/>
        <v>0</v>
      </c>
      <c r="V18" s="68"/>
      <c r="W18" s="60">
        <f t="shared" si="0"/>
        <v>0</v>
      </c>
      <c r="X18" s="69"/>
      <c r="Y18" s="62"/>
      <c r="Z18" s="63">
        <f t="shared" si="16"/>
        <v>0</v>
      </c>
      <c r="AA18" s="41">
        <f t="shared" si="17"/>
        <v>0</v>
      </c>
      <c r="AB18" s="42">
        <f t="shared" si="4"/>
        <v>0</v>
      </c>
      <c r="AC18" s="188">
        <f t="shared" si="5"/>
        <v>0</v>
      </c>
      <c r="AD18" s="70"/>
      <c r="AE18" s="64"/>
      <c r="AG18" s="218">
        <f t="shared" si="6"/>
        <v>0</v>
      </c>
      <c r="AI18" s="64">
        <f t="shared" si="7"/>
        <v>0</v>
      </c>
      <c r="AK18" s="142">
        <f t="shared" si="8"/>
        <v>0</v>
      </c>
      <c r="AM18" s="142">
        <f t="shared" si="9"/>
        <v>0</v>
      </c>
    </row>
    <row r="19" spans="2:41" x14ac:dyDescent="0.25">
      <c r="B19" s="174">
        <v>6710</v>
      </c>
      <c r="C19" s="46" t="s">
        <v>0</v>
      </c>
      <c r="D19" s="65"/>
      <c r="E19" s="48">
        <f t="shared" si="1"/>
        <v>0</v>
      </c>
      <c r="F19" s="72"/>
      <c r="G19" s="50"/>
      <c r="H19" s="51">
        <f t="shared" si="10"/>
        <v>0</v>
      </c>
      <c r="I19" s="52">
        <f t="shared" si="11"/>
        <v>0</v>
      </c>
      <c r="J19" s="207"/>
      <c r="K19" s="248">
        <f t="shared" si="2"/>
        <v>0</v>
      </c>
      <c r="L19" s="224"/>
      <c r="M19" s="206"/>
      <c r="N19" s="195">
        <f t="shared" si="12"/>
        <v>0</v>
      </c>
      <c r="O19" s="196">
        <f t="shared" si="13"/>
        <v>0</v>
      </c>
      <c r="P19" s="66"/>
      <c r="Q19" s="31">
        <f t="shared" si="3"/>
        <v>0</v>
      </c>
      <c r="R19" s="73"/>
      <c r="S19" s="56"/>
      <c r="T19" s="57">
        <f t="shared" si="14"/>
        <v>0</v>
      </c>
      <c r="U19" s="58">
        <f t="shared" si="15"/>
        <v>0</v>
      </c>
      <c r="V19" s="68"/>
      <c r="W19" s="60">
        <f t="shared" si="0"/>
        <v>0</v>
      </c>
      <c r="X19" s="74"/>
      <c r="Y19" s="62"/>
      <c r="Z19" s="63">
        <f t="shared" si="16"/>
        <v>0</v>
      </c>
      <c r="AA19" s="41">
        <f t="shared" si="17"/>
        <v>0</v>
      </c>
      <c r="AB19" s="42">
        <f t="shared" si="4"/>
        <v>0</v>
      </c>
      <c r="AC19" s="188">
        <f t="shared" si="5"/>
        <v>0</v>
      </c>
      <c r="AD19" s="70"/>
      <c r="AE19" s="64"/>
      <c r="AF19" s="1" t="s">
        <v>25</v>
      </c>
      <c r="AG19" s="218">
        <f t="shared" si="6"/>
        <v>0</v>
      </c>
      <c r="AI19" s="64">
        <f t="shared" si="7"/>
        <v>0</v>
      </c>
      <c r="AK19" s="142">
        <f t="shared" si="8"/>
        <v>0</v>
      </c>
      <c r="AM19" s="142">
        <f t="shared" si="9"/>
        <v>0</v>
      </c>
    </row>
    <row r="20" spans="2:41" x14ac:dyDescent="0.25">
      <c r="B20" s="174" t="s">
        <v>26</v>
      </c>
      <c r="C20" s="46" t="s">
        <v>0</v>
      </c>
      <c r="D20" s="65"/>
      <c r="E20" s="48">
        <v>0</v>
      </c>
      <c r="F20" s="49"/>
      <c r="G20" s="50"/>
      <c r="H20" s="51">
        <f t="shared" si="10"/>
        <v>0</v>
      </c>
      <c r="I20" s="52">
        <f t="shared" si="11"/>
        <v>0</v>
      </c>
      <c r="J20" s="207"/>
      <c r="K20" s="248">
        <v>0</v>
      </c>
      <c r="L20" s="223"/>
      <c r="M20" s="206"/>
      <c r="N20" s="195">
        <f t="shared" si="12"/>
        <v>0</v>
      </c>
      <c r="O20" s="196">
        <f t="shared" si="13"/>
        <v>0</v>
      </c>
      <c r="P20" s="66"/>
      <c r="Q20" s="31">
        <v>0</v>
      </c>
      <c r="R20" s="67"/>
      <c r="S20" s="56"/>
      <c r="T20" s="57">
        <f t="shared" si="14"/>
        <v>0</v>
      </c>
      <c r="U20" s="58">
        <f t="shared" si="15"/>
        <v>0</v>
      </c>
      <c r="V20" s="68"/>
      <c r="W20" s="60">
        <v>0</v>
      </c>
      <c r="X20" s="69"/>
      <c r="Y20" s="62"/>
      <c r="Z20" s="63">
        <f t="shared" si="16"/>
        <v>0</v>
      </c>
      <c r="AA20" s="41">
        <f t="shared" si="17"/>
        <v>0</v>
      </c>
      <c r="AB20" s="42">
        <f t="shared" si="4"/>
        <v>0</v>
      </c>
      <c r="AC20" s="188">
        <f t="shared" si="5"/>
        <v>0</v>
      </c>
      <c r="AD20" s="70"/>
      <c r="AE20" s="64"/>
      <c r="AG20" s="218">
        <f t="shared" si="6"/>
        <v>0</v>
      </c>
      <c r="AI20" s="64">
        <f t="shared" si="7"/>
        <v>0</v>
      </c>
      <c r="AK20" s="142">
        <f t="shared" si="8"/>
        <v>0</v>
      </c>
      <c r="AM20" s="142">
        <f t="shared" si="9"/>
        <v>0</v>
      </c>
    </row>
    <row r="21" spans="2:41" x14ac:dyDescent="0.25">
      <c r="B21" s="174" t="s">
        <v>26</v>
      </c>
      <c r="C21" s="153" t="s">
        <v>28</v>
      </c>
      <c r="D21" s="65"/>
      <c r="E21" s="75">
        <v>0</v>
      </c>
      <c r="F21" s="49"/>
      <c r="G21" s="50"/>
      <c r="H21" s="51">
        <f t="shared" si="10"/>
        <v>0</v>
      </c>
      <c r="I21" s="52">
        <f t="shared" si="11"/>
        <v>0</v>
      </c>
      <c r="J21" s="207"/>
      <c r="K21" s="248">
        <v>0</v>
      </c>
      <c r="L21" s="223"/>
      <c r="M21" s="206"/>
      <c r="N21" s="195">
        <f t="shared" si="12"/>
        <v>0</v>
      </c>
      <c r="O21" s="196">
        <f t="shared" si="13"/>
        <v>0</v>
      </c>
      <c r="P21" s="66"/>
      <c r="Q21" s="31">
        <v>0</v>
      </c>
      <c r="R21" s="67">
        <v>4</v>
      </c>
      <c r="S21" s="56">
        <f>17160*4</f>
        <v>68640</v>
      </c>
      <c r="T21" s="57">
        <f t="shared" si="14"/>
        <v>4</v>
      </c>
      <c r="U21" s="58">
        <f t="shared" si="15"/>
        <v>68640</v>
      </c>
      <c r="V21" s="68"/>
      <c r="W21" s="60">
        <v>0</v>
      </c>
      <c r="X21" s="69">
        <v>7</v>
      </c>
      <c r="Y21" s="62">
        <f>17160*5+24700*2</f>
        <v>135200</v>
      </c>
      <c r="Z21" s="63">
        <f t="shared" si="16"/>
        <v>7</v>
      </c>
      <c r="AA21" s="41">
        <f t="shared" si="17"/>
        <v>135200</v>
      </c>
      <c r="AB21" s="152">
        <f t="shared" si="4"/>
        <v>11</v>
      </c>
      <c r="AC21" s="220">
        <f t="shared" si="5"/>
        <v>203840</v>
      </c>
      <c r="AD21" s="70"/>
      <c r="AE21" s="64"/>
      <c r="AG21" s="218">
        <f t="shared" si="6"/>
        <v>0</v>
      </c>
      <c r="AI21" s="151">
        <f t="shared" si="7"/>
        <v>203840</v>
      </c>
      <c r="AK21" s="142">
        <f t="shared" si="8"/>
        <v>11</v>
      </c>
      <c r="AM21" s="142">
        <f t="shared" si="9"/>
        <v>0</v>
      </c>
    </row>
    <row r="22" spans="2:41" ht="15.75" thickBot="1" x14ac:dyDescent="0.3">
      <c r="B22" s="176" t="s">
        <v>26</v>
      </c>
      <c r="C22" s="76" t="s">
        <v>29</v>
      </c>
      <c r="D22" s="77"/>
      <c r="E22" s="78">
        <v>0</v>
      </c>
      <c r="F22" s="79"/>
      <c r="G22" s="80"/>
      <c r="H22" s="81">
        <f t="shared" si="10"/>
        <v>0</v>
      </c>
      <c r="I22" s="82">
        <f t="shared" si="11"/>
        <v>0</v>
      </c>
      <c r="J22" s="210"/>
      <c r="K22" s="250">
        <v>0</v>
      </c>
      <c r="L22" s="225"/>
      <c r="M22" s="213"/>
      <c r="N22" s="197">
        <f t="shared" si="12"/>
        <v>0</v>
      </c>
      <c r="O22" s="198">
        <f t="shared" si="13"/>
        <v>0</v>
      </c>
      <c r="P22" s="83"/>
      <c r="Q22" s="84">
        <v>0</v>
      </c>
      <c r="R22" s="85"/>
      <c r="S22" s="86"/>
      <c r="T22" s="87">
        <f t="shared" si="14"/>
        <v>0</v>
      </c>
      <c r="U22" s="88">
        <f t="shared" si="15"/>
        <v>0</v>
      </c>
      <c r="V22" s="89"/>
      <c r="W22" s="60">
        <v>0</v>
      </c>
      <c r="X22" s="90"/>
      <c r="Y22" s="91"/>
      <c r="Z22" s="92">
        <f t="shared" si="16"/>
        <v>0</v>
      </c>
      <c r="AA22" s="93">
        <f t="shared" si="17"/>
        <v>0</v>
      </c>
      <c r="AB22" s="42">
        <f t="shared" si="4"/>
        <v>0</v>
      </c>
      <c r="AC22" s="188">
        <f t="shared" si="5"/>
        <v>0</v>
      </c>
      <c r="AD22" s="70"/>
      <c r="AE22" s="94"/>
      <c r="AG22" s="219">
        <f t="shared" si="6"/>
        <v>0</v>
      </c>
      <c r="AI22" s="94">
        <f t="shared" si="7"/>
        <v>0</v>
      </c>
      <c r="AK22" s="144">
        <f t="shared" si="8"/>
        <v>0</v>
      </c>
      <c r="AM22" s="144">
        <f t="shared" si="9"/>
        <v>0</v>
      </c>
    </row>
    <row r="23" spans="2:41" ht="15.75" thickBot="1" x14ac:dyDescent="0.3">
      <c r="D23" s="95">
        <f t="shared" ref="D23:I23" si="18">SUM(D8:D22)</f>
        <v>0</v>
      </c>
      <c r="E23" s="96">
        <f t="shared" si="18"/>
        <v>0</v>
      </c>
      <c r="F23" s="95">
        <f t="shared" si="18"/>
        <v>0</v>
      </c>
      <c r="G23" s="97">
        <f t="shared" si="18"/>
        <v>0</v>
      </c>
      <c r="H23" s="98">
        <f t="shared" si="18"/>
        <v>0</v>
      </c>
      <c r="I23" s="99">
        <f t="shared" si="18"/>
        <v>0</v>
      </c>
      <c r="J23" s="214">
        <f t="shared" ref="J23:O23" si="19">SUM(J8:J22)</f>
        <v>0</v>
      </c>
      <c r="K23" s="226">
        <f t="shared" si="19"/>
        <v>0</v>
      </c>
      <c r="L23" s="214">
        <f t="shared" si="19"/>
        <v>0</v>
      </c>
      <c r="M23" s="216">
        <f t="shared" si="19"/>
        <v>0</v>
      </c>
      <c r="N23" s="217">
        <f t="shared" si="19"/>
        <v>0</v>
      </c>
      <c r="O23" s="99">
        <f t="shared" si="19"/>
        <v>0</v>
      </c>
      <c r="P23" s="100">
        <f t="shared" ref="P23:AA23" si="20">SUM(P8:P22)</f>
        <v>0</v>
      </c>
      <c r="Q23" s="101">
        <f t="shared" si="20"/>
        <v>0</v>
      </c>
      <c r="R23" s="100">
        <f t="shared" si="20"/>
        <v>17</v>
      </c>
      <c r="S23" s="102">
        <f t="shared" si="20"/>
        <v>141952</v>
      </c>
      <c r="T23" s="103">
        <f t="shared" si="20"/>
        <v>17</v>
      </c>
      <c r="U23" s="104">
        <f t="shared" si="20"/>
        <v>141952</v>
      </c>
      <c r="V23" s="105">
        <f t="shared" si="20"/>
        <v>0</v>
      </c>
      <c r="W23" s="106">
        <f t="shared" si="20"/>
        <v>0</v>
      </c>
      <c r="X23" s="105">
        <f t="shared" si="20"/>
        <v>27</v>
      </c>
      <c r="Y23" s="107">
        <f t="shared" si="20"/>
        <v>242008</v>
      </c>
      <c r="Z23" s="108">
        <f t="shared" si="20"/>
        <v>27</v>
      </c>
      <c r="AA23" s="104">
        <f t="shared" si="20"/>
        <v>242008</v>
      </c>
      <c r="AB23" s="109" t="s">
        <v>9</v>
      </c>
      <c r="AC23" s="43">
        <f>SUM(AC8:AC22)</f>
        <v>383960</v>
      </c>
      <c r="AD23" s="70"/>
      <c r="AE23" s="1">
        <f>SUM(AE8:AE22)</f>
        <v>28440</v>
      </c>
      <c r="AI23" s="110"/>
      <c r="AK23" s="1">
        <f>SUM(AK8:AK22)</f>
        <v>44</v>
      </c>
      <c r="AM23" s="1">
        <f>SUM(AM8:AM22)</f>
        <v>0</v>
      </c>
      <c r="AO23" s="1">
        <f>+AK23+AM23</f>
        <v>44</v>
      </c>
    </row>
    <row r="24" spans="2:41" x14ac:dyDescent="0.25">
      <c r="G24" s="111"/>
      <c r="H24" s="111"/>
      <c r="I24" s="111"/>
      <c r="M24" s="111"/>
      <c r="N24" s="111"/>
      <c r="O24" s="111"/>
      <c r="P24" s="111"/>
      <c r="Q24" s="111"/>
      <c r="R24" s="112">
        <f>X23+F23+R23+L23</f>
        <v>44</v>
      </c>
      <c r="S24" s="113">
        <f>G23+Y23+S23+M23</f>
        <v>383960</v>
      </c>
      <c r="T24" s="111"/>
      <c r="U24" s="111"/>
      <c r="V24" s="111"/>
      <c r="W24" s="111"/>
      <c r="X24" s="111"/>
      <c r="Y24" s="111"/>
      <c r="Z24" s="111"/>
      <c r="AA24" s="111"/>
      <c r="AB24" s="2"/>
      <c r="AC24" s="70">
        <f>AA23+U23+I23+O23</f>
        <v>383960</v>
      </c>
      <c r="AD24" s="2"/>
    </row>
    <row r="25" spans="2:41" x14ac:dyDescent="0.25">
      <c r="D25" s="114" t="s">
        <v>30</v>
      </c>
      <c r="E25" s="114"/>
      <c r="G25" s="114"/>
      <c r="H25" s="114"/>
      <c r="I25" s="114"/>
      <c r="J25" s="114" t="s">
        <v>30</v>
      </c>
      <c r="K25" s="114"/>
      <c r="M25" s="114"/>
      <c r="N25" s="114"/>
      <c r="O25" s="114"/>
      <c r="P25" s="114"/>
      <c r="Q25" s="114"/>
      <c r="R25" s="114"/>
      <c r="S25" s="114"/>
      <c r="T25" s="114"/>
      <c r="U25" s="114"/>
      <c r="AA25" s="2"/>
      <c r="AB25" s="2"/>
      <c r="AC25" s="2"/>
      <c r="AD25" s="2"/>
    </row>
    <row r="26" spans="2:41" x14ac:dyDescent="0.25">
      <c r="D26" s="114"/>
      <c r="E26" s="114"/>
      <c r="J26" s="114"/>
      <c r="K26" s="114"/>
      <c r="P26" s="1"/>
      <c r="Q26" s="1"/>
      <c r="R26" s="1"/>
      <c r="S26" s="1"/>
      <c r="T26" s="1"/>
      <c r="U26" s="1"/>
      <c r="AA26" s="2"/>
      <c r="AB26" s="2"/>
      <c r="AC26" s="2"/>
      <c r="AD26" s="2"/>
    </row>
    <row r="27" spans="2:41" x14ac:dyDescent="0.25">
      <c r="C27" s="115">
        <v>20000</v>
      </c>
      <c r="D27" s="115"/>
      <c r="E27" s="115"/>
      <c r="F27" s="116"/>
      <c r="G27" s="117"/>
      <c r="H27" s="118"/>
      <c r="I27" s="119"/>
      <c r="J27" s="115"/>
      <c r="K27" s="115"/>
      <c r="L27" s="116"/>
      <c r="M27" s="117"/>
      <c r="N27" s="118"/>
      <c r="O27" s="119"/>
      <c r="P27" s="119"/>
      <c r="Q27" s="119"/>
      <c r="R27" s="119"/>
      <c r="S27" s="119"/>
      <c r="T27" s="119"/>
      <c r="U27" s="119">
        <v>40000</v>
      </c>
      <c r="V27" s="119"/>
      <c r="W27" s="119"/>
      <c r="X27" s="120"/>
      <c r="Y27" s="121"/>
      <c r="Z27" s="120"/>
      <c r="AA27" s="119">
        <v>120000</v>
      </c>
      <c r="AB27" s="122"/>
      <c r="AC27" s="122"/>
      <c r="AD27" s="2"/>
      <c r="AE27" s="2"/>
      <c r="AF27" s="2"/>
    </row>
    <row r="28" spans="2:41" x14ac:dyDescent="0.25">
      <c r="C28" s="115">
        <v>10000</v>
      </c>
      <c r="D28" s="115"/>
      <c r="E28" s="115"/>
      <c r="F28" s="116"/>
      <c r="G28" s="117"/>
      <c r="H28" s="118"/>
      <c r="I28" s="119"/>
      <c r="J28" s="115"/>
      <c r="K28" s="115"/>
      <c r="L28" s="116"/>
      <c r="M28" s="117"/>
      <c r="N28" s="118"/>
      <c r="O28" s="119"/>
      <c r="P28" s="119"/>
      <c r="Q28" s="119"/>
      <c r="R28" s="119"/>
      <c r="S28" s="119"/>
      <c r="T28" s="119"/>
      <c r="U28" s="119">
        <v>100000</v>
      </c>
      <c r="V28" s="119"/>
      <c r="W28" s="119"/>
      <c r="X28" s="120"/>
      <c r="Y28" s="122"/>
      <c r="Z28" s="120"/>
      <c r="AA28" s="119">
        <v>120000</v>
      </c>
      <c r="AB28" s="122"/>
      <c r="AC28" s="122"/>
      <c r="AD28" s="2"/>
      <c r="AE28" s="2"/>
      <c r="AF28" s="2"/>
    </row>
    <row r="29" spans="2:41" x14ac:dyDescent="0.25">
      <c r="C29" s="115">
        <v>5000</v>
      </c>
      <c r="D29" s="115"/>
      <c r="E29" s="115"/>
      <c r="F29" s="116"/>
      <c r="G29" s="117"/>
      <c r="H29" s="118"/>
      <c r="I29" s="119"/>
      <c r="J29" s="115"/>
      <c r="K29" s="115"/>
      <c r="L29" s="116"/>
      <c r="M29" s="117"/>
      <c r="N29" s="118"/>
      <c r="O29" s="119"/>
      <c r="P29" s="119"/>
      <c r="Q29" s="119"/>
      <c r="R29" s="119"/>
      <c r="S29" s="119"/>
      <c r="T29" s="119"/>
      <c r="U29" s="119">
        <v>0</v>
      </c>
      <c r="V29" s="119"/>
      <c r="W29" s="119"/>
      <c r="X29" s="120"/>
      <c r="Y29" s="121"/>
      <c r="Z29" s="120"/>
      <c r="AA29" s="119">
        <v>0</v>
      </c>
      <c r="AB29" s="122"/>
      <c r="AC29" s="122"/>
      <c r="AD29" s="2"/>
      <c r="AE29" s="2"/>
      <c r="AF29" s="2"/>
    </row>
    <row r="30" spans="2:41" x14ac:dyDescent="0.25">
      <c r="C30" s="115">
        <v>2000</v>
      </c>
      <c r="D30" s="115"/>
      <c r="E30" s="115"/>
      <c r="F30" s="116"/>
      <c r="G30" s="117"/>
      <c r="H30" s="118"/>
      <c r="I30" s="119"/>
      <c r="J30" s="115"/>
      <c r="K30" s="115"/>
      <c r="L30" s="116"/>
      <c r="M30" s="117"/>
      <c r="N30" s="118"/>
      <c r="O30" s="119"/>
      <c r="P30" s="119"/>
      <c r="Q30" s="119"/>
      <c r="R30" s="119"/>
      <c r="S30" s="119"/>
      <c r="T30" s="119"/>
      <c r="U30" s="119">
        <v>0</v>
      </c>
      <c r="V30" s="119"/>
      <c r="W30" s="119"/>
      <c r="X30" s="120"/>
      <c r="Y30" s="121"/>
      <c r="Z30" s="120"/>
      <c r="AA30" s="119">
        <v>0</v>
      </c>
      <c r="AB30" s="122"/>
      <c r="AC30" s="122"/>
      <c r="AD30" s="123"/>
    </row>
    <row r="31" spans="2:41" x14ac:dyDescent="0.25">
      <c r="C31" s="115">
        <v>1000</v>
      </c>
      <c r="D31" s="115"/>
      <c r="E31" s="115"/>
      <c r="F31" s="116"/>
      <c r="G31" s="117"/>
      <c r="H31" s="118"/>
      <c r="I31" s="124"/>
      <c r="J31" s="115"/>
      <c r="K31" s="115"/>
      <c r="L31" s="116"/>
      <c r="M31" s="117"/>
      <c r="N31" s="118"/>
      <c r="O31" s="124"/>
      <c r="P31" s="124"/>
      <c r="Q31" s="124"/>
      <c r="R31" s="124"/>
      <c r="S31" s="124"/>
      <c r="T31" s="124"/>
      <c r="U31" s="124">
        <v>1000</v>
      </c>
      <c r="V31" s="124"/>
      <c r="W31" s="124"/>
      <c r="X31" s="120"/>
      <c r="Y31" s="121"/>
      <c r="Z31" s="120"/>
      <c r="AA31" s="124">
        <v>2000</v>
      </c>
      <c r="AB31" s="122"/>
      <c r="AC31" s="122"/>
      <c r="AD31" s="2"/>
    </row>
    <row r="32" spans="2:41" x14ac:dyDescent="0.25">
      <c r="C32" s="115">
        <v>500</v>
      </c>
      <c r="D32" s="115"/>
      <c r="E32" s="115"/>
      <c r="F32" s="116"/>
      <c r="G32" s="117"/>
      <c r="H32" s="118"/>
      <c r="I32" s="119"/>
      <c r="J32" s="115"/>
      <c r="K32" s="115"/>
      <c r="L32" s="116"/>
      <c r="M32" s="117"/>
      <c r="N32" s="118"/>
      <c r="O32" s="119"/>
      <c r="P32" s="119"/>
      <c r="Q32" s="119"/>
      <c r="R32" s="119"/>
      <c r="S32" s="119"/>
      <c r="T32" s="119"/>
      <c r="U32" s="119">
        <v>500</v>
      </c>
      <c r="V32" s="119"/>
      <c r="W32" s="119"/>
      <c r="X32" s="120"/>
      <c r="Y32" s="121"/>
      <c r="Z32" s="120"/>
      <c r="AA32" s="119">
        <v>0</v>
      </c>
      <c r="AB32" s="121"/>
      <c r="AC32" s="121"/>
      <c r="AD32" s="2"/>
    </row>
    <row r="33" spans="2:33" x14ac:dyDescent="0.25">
      <c r="C33" s="115">
        <v>100</v>
      </c>
      <c r="D33" s="115"/>
      <c r="E33" s="115"/>
      <c r="F33" s="116"/>
      <c r="G33" s="117"/>
      <c r="H33" s="118"/>
      <c r="I33" s="119"/>
      <c r="J33" s="115"/>
      <c r="K33" s="115"/>
      <c r="L33" s="116"/>
      <c r="M33" s="117"/>
      <c r="N33" s="118"/>
      <c r="O33" s="119"/>
      <c r="P33" s="119"/>
      <c r="Q33" s="119"/>
      <c r="R33" s="119"/>
      <c r="S33" s="119"/>
      <c r="T33" s="119"/>
      <c r="U33" s="119">
        <v>400</v>
      </c>
      <c r="V33" s="119"/>
      <c r="W33" s="119"/>
      <c r="X33" s="120"/>
      <c r="Y33" s="121"/>
      <c r="Z33" s="120"/>
      <c r="AA33" s="119">
        <v>0</v>
      </c>
      <c r="AB33" s="121"/>
      <c r="AC33" s="121"/>
      <c r="AD33" s="2"/>
    </row>
    <row r="34" spans="2:33" x14ac:dyDescent="0.25">
      <c r="C34" s="115">
        <v>50</v>
      </c>
      <c r="D34" s="115"/>
      <c r="E34" s="115"/>
      <c r="F34" s="116"/>
      <c r="G34" s="117"/>
      <c r="H34" s="118"/>
      <c r="I34" s="119"/>
      <c r="J34" s="115"/>
      <c r="K34" s="115"/>
      <c r="L34" s="116"/>
      <c r="M34" s="117"/>
      <c r="N34" s="118"/>
      <c r="O34" s="119"/>
      <c r="P34" s="119"/>
      <c r="Q34" s="119"/>
      <c r="R34" s="119"/>
      <c r="S34" s="119"/>
      <c r="T34" s="119"/>
      <c r="U34" s="119">
        <v>50</v>
      </c>
      <c r="V34" s="119"/>
      <c r="W34" s="119"/>
      <c r="X34" s="120"/>
      <c r="Y34" s="121"/>
      <c r="Z34" s="120"/>
      <c r="AA34" s="119">
        <v>0</v>
      </c>
      <c r="AB34" s="121"/>
      <c r="AC34" s="121"/>
      <c r="AD34" s="2"/>
    </row>
    <row r="35" spans="2:33" x14ac:dyDescent="0.25">
      <c r="C35" s="115">
        <v>10</v>
      </c>
      <c r="D35" s="115"/>
      <c r="E35" s="115"/>
      <c r="F35" s="116"/>
      <c r="G35" s="117"/>
      <c r="H35" s="118"/>
      <c r="I35" s="119"/>
      <c r="J35" s="115"/>
      <c r="K35" s="115"/>
      <c r="L35" s="116"/>
      <c r="M35" s="117"/>
      <c r="N35" s="118"/>
      <c r="O35" s="119"/>
      <c r="P35" s="119"/>
      <c r="Q35" s="119"/>
      <c r="R35" s="119"/>
      <c r="S35" s="119"/>
      <c r="T35" s="119"/>
      <c r="U35" s="119">
        <v>0</v>
      </c>
      <c r="V35" s="119"/>
      <c r="W35" s="119"/>
      <c r="X35" s="120"/>
      <c r="Y35" s="121"/>
      <c r="Z35" s="120"/>
      <c r="AA35" s="119">
        <v>10</v>
      </c>
      <c r="AB35" s="121"/>
      <c r="AC35" s="121"/>
      <c r="AD35" s="2"/>
      <c r="AG35" s="1" t="s">
        <v>25</v>
      </c>
    </row>
    <row r="36" spans="2:33" x14ac:dyDescent="0.25">
      <c r="C36" s="1" t="s">
        <v>32</v>
      </c>
      <c r="E36" s="131"/>
      <c r="G36" s="125"/>
      <c r="H36" s="118"/>
      <c r="I36" s="124"/>
      <c r="K36" s="131"/>
      <c r="M36" s="125"/>
      <c r="N36" s="118"/>
      <c r="O36" s="124"/>
      <c r="P36" s="124"/>
      <c r="Q36" s="124"/>
      <c r="R36" s="124"/>
      <c r="S36" s="124"/>
      <c r="T36" s="124"/>
      <c r="U36" s="124">
        <v>2</v>
      </c>
      <c r="V36" s="124"/>
      <c r="W36" s="124"/>
      <c r="X36" s="120"/>
      <c r="Y36" s="124"/>
      <c r="Z36" s="120"/>
      <c r="AA36" s="124">
        <v>-2</v>
      </c>
      <c r="AB36" s="124"/>
      <c r="AC36" s="124"/>
      <c r="AD36" s="2"/>
    </row>
    <row r="37" spans="2:33" s="114" customFormat="1" ht="15.75" x14ac:dyDescent="0.25">
      <c r="F37" s="126"/>
      <c r="G37" s="127"/>
      <c r="I37" s="128">
        <f>SUM(I27:I36)</f>
        <v>0</v>
      </c>
      <c r="L37" s="126"/>
      <c r="M37" s="127"/>
      <c r="O37" s="128">
        <f>SUM(O27:O36)</f>
        <v>0</v>
      </c>
      <c r="P37" s="116"/>
      <c r="Q37" s="116"/>
      <c r="R37" s="116"/>
      <c r="S37" s="116"/>
      <c r="T37" s="116"/>
      <c r="U37" s="128">
        <f>SUM(U27:U36)</f>
        <v>141952</v>
      </c>
      <c r="V37" s="116"/>
      <c r="W37" s="116"/>
      <c r="X37" s="123"/>
      <c r="Y37" s="116"/>
      <c r="Z37" s="123"/>
      <c r="AA37" s="128">
        <f>SUM(AA27:AA36)</f>
        <v>242008</v>
      </c>
      <c r="AB37" s="129"/>
      <c r="AC37" s="125">
        <f>+I37+U37+AA37+O37</f>
        <v>383960</v>
      </c>
    </row>
    <row r="38" spans="2:33" x14ac:dyDescent="0.25">
      <c r="B38" s="2"/>
      <c r="C38" s="2"/>
      <c r="D38" s="2"/>
      <c r="E38" s="70"/>
      <c r="F38" s="2"/>
      <c r="G38" s="2"/>
      <c r="H38" s="2"/>
      <c r="I38" s="2"/>
      <c r="J38" s="2"/>
      <c r="K38" s="70"/>
      <c r="L38" s="2"/>
      <c r="M38" s="2"/>
      <c r="N38" s="2"/>
      <c r="O38" s="2"/>
      <c r="X38" s="70"/>
      <c r="AA38" s="2"/>
      <c r="AB38" s="130"/>
      <c r="AC38" s="131">
        <f>AC37-AC24</f>
        <v>0</v>
      </c>
    </row>
    <row r="39" spans="2:33" x14ac:dyDescent="0.25">
      <c r="B39" s="2"/>
      <c r="C39" s="2"/>
      <c r="D39" s="2"/>
      <c r="E39" s="70"/>
      <c r="F39" s="2"/>
      <c r="G39" s="2"/>
      <c r="H39" s="2"/>
      <c r="I39" s="129"/>
      <c r="J39" s="2"/>
      <c r="K39" s="70"/>
      <c r="L39" s="2"/>
      <c r="M39" s="2"/>
      <c r="N39" s="2"/>
      <c r="O39" s="129"/>
      <c r="P39" s="2" t="s">
        <v>38</v>
      </c>
      <c r="U39" s="129"/>
      <c r="X39" s="70"/>
      <c r="AA39" s="129"/>
      <c r="AB39" s="130"/>
      <c r="AC39" s="131"/>
    </row>
    <row r="40" spans="2:33" x14ac:dyDescent="0.25">
      <c r="E40" s="110"/>
      <c r="Q40" s="133"/>
      <c r="Y40" s="1"/>
      <c r="Z40" s="1"/>
    </row>
    <row r="41" spans="2:33" x14ac:dyDescent="0.25">
      <c r="S41" s="129"/>
      <c r="T41" s="129"/>
      <c r="U41" s="129"/>
      <c r="W41" s="130"/>
    </row>
  </sheetData>
  <mergeCells count="11">
    <mergeCell ref="Q3:T3"/>
    <mergeCell ref="C4:D4"/>
    <mergeCell ref="V6:AA6"/>
    <mergeCell ref="AB6:AB7"/>
    <mergeCell ref="AC6:AC7"/>
    <mergeCell ref="AE6:AE7"/>
    <mergeCell ref="B6:B7"/>
    <mergeCell ref="C6:C7"/>
    <mergeCell ref="D6:I6"/>
    <mergeCell ref="J6:O6"/>
    <mergeCell ref="P6:U6"/>
  </mergeCells>
  <pageMargins left="0.39370078740157483" right="0.39370078740157483" top="0.19685039370078741" bottom="0.19685039370078741" header="0" footer="0"/>
  <pageSetup paperSize="9" orientation="landscape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AO44"/>
  <sheetViews>
    <sheetView workbookViewId="0">
      <pane xSplit="3" topLeftCell="D1" activePane="topRight" state="frozen"/>
      <selection activeCell="G11" sqref="G11"/>
      <selection pane="topRight" activeCell="Y23" sqref="Y23"/>
    </sheetView>
  </sheetViews>
  <sheetFormatPr baseColWidth="10" defaultRowHeight="15" x14ac:dyDescent="0.25"/>
  <cols>
    <col min="1" max="1" width="1.7109375" style="1" customWidth="1"/>
    <col min="2" max="2" width="10" style="1" customWidth="1"/>
    <col min="3" max="3" width="29.140625" style="1" customWidth="1"/>
    <col min="4" max="4" width="5.7109375" style="1" customWidth="1"/>
    <col min="5" max="5" width="10.7109375" style="1" customWidth="1"/>
    <col min="6" max="6" width="5.7109375" style="1" customWidth="1"/>
    <col min="7" max="7" width="10.7109375" style="1" customWidth="1"/>
    <col min="8" max="8" width="5.7109375" style="1" customWidth="1"/>
    <col min="9" max="9" width="10.7109375" style="1" customWidth="1"/>
    <col min="10" max="10" width="5.7109375" style="1" hidden="1" customWidth="1"/>
    <col min="11" max="11" width="10.7109375" style="1" hidden="1" customWidth="1"/>
    <col min="12" max="12" width="5.7109375" style="1" hidden="1" customWidth="1"/>
    <col min="13" max="13" width="10.7109375" style="1" hidden="1" customWidth="1"/>
    <col min="14" max="14" width="5.7109375" style="1" hidden="1" customWidth="1"/>
    <col min="15" max="15" width="10.7109375" style="1" hidden="1" customWidth="1"/>
    <col min="16" max="16" width="5.7109375" style="2" customWidth="1"/>
    <col min="17" max="17" width="10.7109375" style="2" customWidth="1"/>
    <col min="18" max="18" width="5.7109375" style="2" customWidth="1"/>
    <col min="19" max="19" width="10.7109375" style="2" customWidth="1"/>
    <col min="20" max="20" width="5.7109375" style="2" customWidth="1"/>
    <col min="21" max="21" width="10.7109375" style="2" customWidth="1"/>
    <col min="22" max="22" width="5.7109375" style="2" customWidth="1"/>
    <col min="23" max="23" width="10.7109375" style="2" customWidth="1"/>
    <col min="24" max="24" width="5.7109375" style="2" customWidth="1"/>
    <col min="25" max="25" width="10.7109375" style="2" customWidth="1"/>
    <col min="26" max="26" width="5.7109375" style="2" customWidth="1"/>
    <col min="27" max="27" width="10.7109375" style="1" customWidth="1"/>
    <col min="28" max="28" width="9.5703125" style="1" customWidth="1"/>
    <col min="29" max="29" width="14.5703125" style="1" bestFit="1" customWidth="1"/>
    <col min="30" max="30" width="3.28515625" style="1" customWidth="1"/>
    <col min="31" max="31" width="11.42578125" style="1"/>
    <col min="32" max="32" width="3.7109375" style="1" customWidth="1"/>
    <col min="33" max="33" width="10.140625" style="1" customWidth="1"/>
    <col min="34" max="34" width="3.7109375" style="1" customWidth="1"/>
    <col min="35" max="35" width="11.42578125" style="1"/>
    <col min="36" max="36" width="3.7109375" style="1" customWidth="1"/>
    <col min="37" max="37" width="5.7109375" style="1" customWidth="1"/>
    <col min="38" max="38" width="3.7109375" style="1" customWidth="1"/>
    <col min="39" max="39" width="5.7109375" style="1" customWidth="1"/>
    <col min="40" max="40" width="3.7109375" style="1" customWidth="1"/>
    <col min="41" max="41" width="5.7109375" style="1" customWidth="1"/>
    <col min="42" max="16384" width="11.42578125" style="1"/>
  </cols>
  <sheetData>
    <row r="1" spans="1:39" ht="5.25" customHeight="1" x14ac:dyDescent="0.25">
      <c r="Y1" s="1"/>
      <c r="Z1" s="1"/>
    </row>
    <row r="2" spans="1:39" ht="21" x14ac:dyDescent="0.35">
      <c r="B2" s="3" t="s">
        <v>0</v>
      </c>
      <c r="P2" s="1"/>
      <c r="Q2" s="4"/>
      <c r="Z2" s="1"/>
    </row>
    <row r="3" spans="1:39" ht="15" customHeight="1" x14ac:dyDescent="0.25">
      <c r="A3" s="5"/>
      <c r="B3" s="6" t="s">
        <v>1</v>
      </c>
      <c r="C3" s="7"/>
      <c r="D3" s="7"/>
      <c r="E3" s="7"/>
      <c r="F3" s="7"/>
      <c r="P3" s="1"/>
      <c r="Q3" s="353"/>
      <c r="R3" s="353"/>
      <c r="S3" s="353"/>
      <c r="T3" s="353"/>
      <c r="U3" s="252"/>
      <c r="V3" s="252"/>
      <c r="Z3" s="1"/>
    </row>
    <row r="4" spans="1:39" ht="18" customHeight="1" x14ac:dyDescent="0.25">
      <c r="B4" s="253" t="s">
        <v>2</v>
      </c>
      <c r="C4" s="354" t="s">
        <v>40</v>
      </c>
      <c r="D4" s="355"/>
      <c r="E4" s="253"/>
      <c r="F4" s="253"/>
      <c r="P4" s="1"/>
      <c r="Q4" s="9"/>
      <c r="R4" s="10"/>
      <c r="S4" s="9"/>
      <c r="T4" s="9"/>
      <c r="U4" s="9"/>
      <c r="V4" s="9"/>
      <c r="Z4" s="1"/>
    </row>
    <row r="5" spans="1:39" ht="15.75" thickBot="1" x14ac:dyDescent="0.3">
      <c r="A5" s="253"/>
      <c r="B5" s="253"/>
      <c r="C5" s="253"/>
      <c r="D5" s="253"/>
      <c r="E5" s="253"/>
      <c r="J5" s="253"/>
      <c r="K5" s="253"/>
      <c r="P5" s="1"/>
      <c r="Q5" s="1"/>
      <c r="R5" s="1"/>
      <c r="S5" s="1"/>
      <c r="T5" s="1"/>
      <c r="U5" s="1"/>
      <c r="V5" s="9"/>
      <c r="W5" s="9"/>
      <c r="X5" s="9"/>
      <c r="Y5" s="9"/>
      <c r="Z5" s="9"/>
      <c r="AA5" s="9"/>
      <c r="AB5" s="2"/>
      <c r="AC5" s="2"/>
      <c r="AD5" s="2"/>
    </row>
    <row r="6" spans="1:39" ht="27.75" customHeight="1" thickBot="1" x14ac:dyDescent="0.3">
      <c r="B6" s="356" t="s">
        <v>3</v>
      </c>
      <c r="C6" s="343" t="s">
        <v>4</v>
      </c>
      <c r="D6" s="358" t="s">
        <v>36</v>
      </c>
      <c r="E6" s="359"/>
      <c r="F6" s="360"/>
      <c r="G6" s="360"/>
      <c r="H6" s="360"/>
      <c r="I6" s="361"/>
      <c r="J6" s="370" t="s">
        <v>37</v>
      </c>
      <c r="K6" s="371"/>
      <c r="L6" s="372"/>
      <c r="M6" s="372"/>
      <c r="N6" s="372"/>
      <c r="O6" s="373"/>
      <c r="P6" s="362" t="s">
        <v>31</v>
      </c>
      <c r="Q6" s="363"/>
      <c r="R6" s="364"/>
      <c r="S6" s="364"/>
      <c r="T6" s="364"/>
      <c r="U6" s="365"/>
      <c r="V6" s="366" t="s">
        <v>39</v>
      </c>
      <c r="W6" s="367"/>
      <c r="X6" s="368"/>
      <c r="Y6" s="368"/>
      <c r="Z6" s="368"/>
      <c r="AA6" s="369"/>
      <c r="AB6" s="349" t="s">
        <v>5</v>
      </c>
      <c r="AC6" s="349" t="s">
        <v>6</v>
      </c>
      <c r="AD6" s="2"/>
      <c r="AE6" s="351" t="s">
        <v>7</v>
      </c>
      <c r="AF6" s="2"/>
    </row>
    <row r="7" spans="1:39" ht="25.5" customHeight="1" thickBot="1" x14ac:dyDescent="0.3">
      <c r="B7" s="357"/>
      <c r="C7" s="344"/>
      <c r="D7" s="11" t="s">
        <v>8</v>
      </c>
      <c r="E7" s="12" t="s">
        <v>9</v>
      </c>
      <c r="F7" s="13" t="s">
        <v>8</v>
      </c>
      <c r="G7" s="14" t="s">
        <v>9</v>
      </c>
      <c r="H7" s="11" t="s">
        <v>5</v>
      </c>
      <c r="I7" s="14" t="s">
        <v>10</v>
      </c>
      <c r="J7" s="190" t="s">
        <v>8</v>
      </c>
      <c r="K7" s="192" t="s">
        <v>9</v>
      </c>
      <c r="L7" s="191" t="s">
        <v>8</v>
      </c>
      <c r="M7" s="192" t="s">
        <v>9</v>
      </c>
      <c r="N7" s="190" t="s">
        <v>5</v>
      </c>
      <c r="O7" s="192" t="s">
        <v>10</v>
      </c>
      <c r="P7" s="15" t="s">
        <v>8</v>
      </c>
      <c r="Q7" s="16" t="s">
        <v>9</v>
      </c>
      <c r="R7" s="17" t="s">
        <v>8</v>
      </c>
      <c r="S7" s="16" t="s">
        <v>9</v>
      </c>
      <c r="T7" s="15" t="s">
        <v>5</v>
      </c>
      <c r="U7" s="16" t="s">
        <v>10</v>
      </c>
      <c r="V7" s="18" t="s">
        <v>8</v>
      </c>
      <c r="W7" s="19" t="s">
        <v>9</v>
      </c>
      <c r="X7" s="20" t="s">
        <v>8</v>
      </c>
      <c r="Y7" s="21" t="s">
        <v>9</v>
      </c>
      <c r="Z7" s="18" t="s">
        <v>5</v>
      </c>
      <c r="AA7" s="21" t="s">
        <v>10</v>
      </c>
      <c r="AB7" s="350"/>
      <c r="AC7" s="350"/>
      <c r="AD7" s="2"/>
      <c r="AE7" s="352"/>
      <c r="AG7" s="22" t="s">
        <v>11</v>
      </c>
      <c r="AI7" s="22" t="s">
        <v>12</v>
      </c>
    </row>
    <row r="8" spans="1:39" x14ac:dyDescent="0.25">
      <c r="B8" s="173">
        <v>6320</v>
      </c>
      <c r="C8" s="23" t="s">
        <v>13</v>
      </c>
      <c r="D8" s="24"/>
      <c r="E8" s="25">
        <f>+D8*B8</f>
        <v>0</v>
      </c>
      <c r="F8" s="26"/>
      <c r="G8" s="27"/>
      <c r="H8" s="28">
        <f>D8+F8</f>
        <v>0</v>
      </c>
      <c r="I8" s="29">
        <f>E8+G8</f>
        <v>0</v>
      </c>
      <c r="J8" s="199"/>
      <c r="K8" s="249">
        <f>+J8*B8</f>
        <v>0</v>
      </c>
      <c r="L8" s="222"/>
      <c r="M8" s="202"/>
      <c r="N8" s="193">
        <f>J8+L8</f>
        <v>0</v>
      </c>
      <c r="O8" s="194">
        <f>K8+M8</f>
        <v>0</v>
      </c>
      <c r="P8" s="30"/>
      <c r="Q8" s="31">
        <f>+P8*B8</f>
        <v>0</v>
      </c>
      <c r="R8" s="32"/>
      <c r="S8" s="33"/>
      <c r="T8" s="34">
        <f>P8+R8</f>
        <v>0</v>
      </c>
      <c r="U8" s="35">
        <f>Q8+S8</f>
        <v>0</v>
      </c>
      <c r="V8" s="36"/>
      <c r="W8" s="37">
        <f t="shared" ref="W8:W21" si="0">+V8*B8</f>
        <v>0</v>
      </c>
      <c r="X8" s="38"/>
      <c r="Y8" s="39"/>
      <c r="Z8" s="40">
        <f>V8+X8</f>
        <v>0</v>
      </c>
      <c r="AA8" s="41">
        <f>Y8+W8</f>
        <v>0</v>
      </c>
      <c r="AB8" s="42">
        <f>+D8+F8+P8+R8+V8+X8+J8+L8</f>
        <v>0</v>
      </c>
      <c r="AC8" s="188">
        <f>+E8+G8+Q8+S8+W8+Y8+K8+M8</f>
        <v>0</v>
      </c>
      <c r="AD8" s="44"/>
      <c r="AE8" s="45"/>
      <c r="AG8" s="187">
        <f>E8+W8+Q8+K8</f>
        <v>0</v>
      </c>
      <c r="AI8" s="45">
        <f>G8+Y8+S8+M8</f>
        <v>0</v>
      </c>
      <c r="AK8" s="139">
        <f>F8+R8+X8+L8</f>
        <v>0</v>
      </c>
      <c r="AM8" s="139">
        <f>+D8+P8+V8+J8</f>
        <v>0</v>
      </c>
    </row>
    <row r="9" spans="1:39" x14ac:dyDescent="0.25">
      <c r="B9" s="174">
        <v>6320</v>
      </c>
      <c r="C9" s="264" t="s">
        <v>14</v>
      </c>
      <c r="D9" s="47"/>
      <c r="E9" s="48">
        <f t="shared" ref="E9:E21" si="1">+D9*B9</f>
        <v>0</v>
      </c>
      <c r="F9" s="49"/>
      <c r="G9" s="50"/>
      <c r="H9" s="51">
        <f>D9+F9</f>
        <v>0</v>
      </c>
      <c r="I9" s="52">
        <f>G9+E9</f>
        <v>0</v>
      </c>
      <c r="J9" s="203"/>
      <c r="K9" s="248">
        <f t="shared" ref="K9:K21" si="2">+J9*B9</f>
        <v>0</v>
      </c>
      <c r="L9" s="223"/>
      <c r="M9" s="206"/>
      <c r="N9" s="195">
        <f>J9+L9</f>
        <v>0</v>
      </c>
      <c r="O9" s="196">
        <f>M9+K9</f>
        <v>0</v>
      </c>
      <c r="P9" s="53"/>
      <c r="Q9" s="31">
        <f t="shared" ref="Q9:Q21" si="3">+P9*B9</f>
        <v>0</v>
      </c>
      <c r="R9" s="55"/>
      <c r="S9" s="56"/>
      <c r="T9" s="57">
        <f>P9+R9</f>
        <v>0</v>
      </c>
      <c r="U9" s="58">
        <f>S9+Q9</f>
        <v>0</v>
      </c>
      <c r="V9" s="59"/>
      <c r="W9" s="60">
        <f t="shared" si="0"/>
        <v>0</v>
      </c>
      <c r="X9" s="61"/>
      <c r="Y9" s="62"/>
      <c r="Z9" s="63">
        <f>V9+X9</f>
        <v>0</v>
      </c>
      <c r="AA9" s="41">
        <f>Y9+W9</f>
        <v>0</v>
      </c>
      <c r="AB9" s="42">
        <f t="shared" ref="AB9:AB25" si="4">+D9+F9+P9+R9+V9+X9+J9+L9</f>
        <v>0</v>
      </c>
      <c r="AC9" s="266">
        <f t="shared" ref="AC9:AC25" si="5">+E9+G9+Q9+S9+W9+Y9+K9+M9</f>
        <v>0</v>
      </c>
      <c r="AD9" s="44"/>
      <c r="AE9" s="64"/>
      <c r="AG9" s="251">
        <f t="shared" ref="AG9:AG25" si="6">E9+W9+Q9+K9</f>
        <v>0</v>
      </c>
      <c r="AI9" s="64">
        <f t="shared" ref="AI9:AI25" si="7">G9+Y9+S9+M9</f>
        <v>0</v>
      </c>
      <c r="AK9" s="142">
        <f t="shared" ref="AK9:AK25" si="8">F9+R9+X9+L9</f>
        <v>0</v>
      </c>
      <c r="AM9" s="142">
        <f t="shared" ref="AM9:AM25" si="9">+D9+P9+V9+J9</f>
        <v>0</v>
      </c>
    </row>
    <row r="10" spans="1:39" x14ac:dyDescent="0.25">
      <c r="B10" s="175">
        <v>14010</v>
      </c>
      <c r="C10" s="46" t="s">
        <v>15</v>
      </c>
      <c r="D10" s="47"/>
      <c r="E10" s="48">
        <f t="shared" si="1"/>
        <v>0</v>
      </c>
      <c r="F10" s="49"/>
      <c r="G10" s="50"/>
      <c r="H10" s="51">
        <f t="shared" ref="H10:H25" si="10">D10+F10</f>
        <v>0</v>
      </c>
      <c r="I10" s="52">
        <f t="shared" ref="I10:I25" si="11">G10+E10</f>
        <v>0</v>
      </c>
      <c r="J10" s="203"/>
      <c r="K10" s="248">
        <f t="shared" si="2"/>
        <v>0</v>
      </c>
      <c r="L10" s="223"/>
      <c r="M10" s="206"/>
      <c r="N10" s="195">
        <f t="shared" ref="N10:N25" si="12">J10+L10</f>
        <v>0</v>
      </c>
      <c r="O10" s="196">
        <f t="shared" ref="O10:O25" si="13">M10+K10</f>
        <v>0</v>
      </c>
      <c r="P10" s="53"/>
      <c r="Q10" s="31">
        <f t="shared" si="3"/>
        <v>0</v>
      </c>
      <c r="R10" s="55"/>
      <c r="S10" s="56"/>
      <c r="T10" s="57">
        <f t="shared" ref="T10:T25" si="14">P10+R10</f>
        <v>0</v>
      </c>
      <c r="U10" s="58">
        <f t="shared" ref="U10:U25" si="15">S10+Q10</f>
        <v>0</v>
      </c>
      <c r="V10" s="59"/>
      <c r="W10" s="60">
        <f t="shared" si="0"/>
        <v>0</v>
      </c>
      <c r="X10" s="61"/>
      <c r="Y10" s="62"/>
      <c r="Z10" s="63">
        <f t="shared" ref="Z10:Z25" si="16">V10+X10</f>
        <v>0</v>
      </c>
      <c r="AA10" s="41">
        <f t="shared" ref="AA10:AA25" si="17">Y10+W10</f>
        <v>0</v>
      </c>
      <c r="AB10" s="42">
        <f t="shared" si="4"/>
        <v>0</v>
      </c>
      <c r="AC10" s="188">
        <f t="shared" si="5"/>
        <v>0</v>
      </c>
      <c r="AD10" s="44"/>
      <c r="AE10" s="64"/>
      <c r="AG10" s="218">
        <f t="shared" si="6"/>
        <v>0</v>
      </c>
      <c r="AI10" s="64">
        <f t="shared" si="7"/>
        <v>0</v>
      </c>
      <c r="AK10" s="142">
        <f t="shared" si="8"/>
        <v>0</v>
      </c>
      <c r="AM10" s="142">
        <f t="shared" si="9"/>
        <v>0</v>
      </c>
    </row>
    <row r="11" spans="1:39" x14ac:dyDescent="0.25">
      <c r="B11" s="174">
        <v>6320</v>
      </c>
      <c r="C11" s="46" t="s">
        <v>16</v>
      </c>
      <c r="D11" s="47"/>
      <c r="E11" s="48">
        <f t="shared" si="1"/>
        <v>0</v>
      </c>
      <c r="F11" s="49"/>
      <c r="G11" s="50"/>
      <c r="H11" s="51">
        <f t="shared" si="10"/>
        <v>0</v>
      </c>
      <c r="I11" s="52">
        <f t="shared" si="11"/>
        <v>0</v>
      </c>
      <c r="J11" s="203"/>
      <c r="K11" s="248">
        <f t="shared" si="2"/>
        <v>0</v>
      </c>
      <c r="L11" s="223"/>
      <c r="M11" s="206"/>
      <c r="N11" s="195">
        <f t="shared" si="12"/>
        <v>0</v>
      </c>
      <c r="O11" s="196">
        <f t="shared" si="13"/>
        <v>0</v>
      </c>
      <c r="P11" s="53"/>
      <c r="Q11" s="31">
        <f t="shared" si="3"/>
        <v>0</v>
      </c>
      <c r="R11" s="55"/>
      <c r="S11" s="56"/>
      <c r="T11" s="57">
        <f t="shared" si="14"/>
        <v>0</v>
      </c>
      <c r="U11" s="58">
        <f t="shared" si="15"/>
        <v>0</v>
      </c>
      <c r="V11" s="59"/>
      <c r="W11" s="60">
        <f t="shared" si="0"/>
        <v>0</v>
      </c>
      <c r="X11" s="61"/>
      <c r="Y11" s="62"/>
      <c r="Z11" s="63">
        <f t="shared" si="16"/>
        <v>0</v>
      </c>
      <c r="AA11" s="41">
        <f t="shared" si="17"/>
        <v>0</v>
      </c>
      <c r="AB11" s="42">
        <f t="shared" si="4"/>
        <v>0</v>
      </c>
      <c r="AC11" s="188">
        <f t="shared" si="5"/>
        <v>0</v>
      </c>
      <c r="AD11" s="44"/>
      <c r="AE11" s="64"/>
      <c r="AG11" s="218">
        <f t="shared" si="6"/>
        <v>0</v>
      </c>
      <c r="AI11" s="64">
        <f t="shared" si="7"/>
        <v>0</v>
      </c>
      <c r="AK11" s="142">
        <f t="shared" si="8"/>
        <v>0</v>
      </c>
      <c r="AM11" s="142">
        <f t="shared" si="9"/>
        <v>0</v>
      </c>
    </row>
    <row r="12" spans="1:39" x14ac:dyDescent="0.25">
      <c r="B12" s="174">
        <v>6320</v>
      </c>
      <c r="C12" s="264" t="s">
        <v>17</v>
      </c>
      <c r="D12" s="65"/>
      <c r="E12" s="48">
        <f t="shared" si="1"/>
        <v>0</v>
      </c>
      <c r="F12" s="49"/>
      <c r="G12" s="50"/>
      <c r="H12" s="51">
        <f t="shared" si="10"/>
        <v>0</v>
      </c>
      <c r="I12" s="52">
        <f t="shared" si="11"/>
        <v>0</v>
      </c>
      <c r="J12" s="207"/>
      <c r="K12" s="248">
        <f t="shared" si="2"/>
        <v>0</v>
      </c>
      <c r="L12" s="223"/>
      <c r="M12" s="206"/>
      <c r="N12" s="195">
        <f t="shared" si="12"/>
        <v>0</v>
      </c>
      <c r="O12" s="196">
        <f t="shared" si="13"/>
        <v>0</v>
      </c>
      <c r="P12" s="66"/>
      <c r="Q12" s="31">
        <f t="shared" si="3"/>
        <v>0</v>
      </c>
      <c r="R12" s="67"/>
      <c r="S12" s="56"/>
      <c r="T12" s="57">
        <f t="shared" si="14"/>
        <v>0</v>
      </c>
      <c r="U12" s="58">
        <f t="shared" si="15"/>
        <v>0</v>
      </c>
      <c r="V12" s="68"/>
      <c r="W12" s="60">
        <f t="shared" si="0"/>
        <v>0</v>
      </c>
      <c r="X12" s="69"/>
      <c r="Y12" s="62"/>
      <c r="Z12" s="63">
        <f t="shared" si="16"/>
        <v>0</v>
      </c>
      <c r="AA12" s="41">
        <f t="shared" si="17"/>
        <v>0</v>
      </c>
      <c r="AB12" s="265">
        <f t="shared" si="4"/>
        <v>0</v>
      </c>
      <c r="AC12" s="266">
        <f t="shared" si="5"/>
        <v>0</v>
      </c>
      <c r="AD12" s="70"/>
      <c r="AE12" s="271"/>
      <c r="AG12" s="218">
        <f t="shared" si="6"/>
        <v>0</v>
      </c>
      <c r="AI12" s="271">
        <f t="shared" si="7"/>
        <v>0</v>
      </c>
      <c r="AK12" s="142">
        <f t="shared" si="8"/>
        <v>0</v>
      </c>
      <c r="AM12" s="142">
        <f t="shared" si="9"/>
        <v>0</v>
      </c>
    </row>
    <row r="13" spans="1:39" x14ac:dyDescent="0.25">
      <c r="B13" s="174">
        <v>6320</v>
      </c>
      <c r="C13" s="46" t="s">
        <v>18</v>
      </c>
      <c r="D13" s="65"/>
      <c r="E13" s="48">
        <f t="shared" si="1"/>
        <v>0</v>
      </c>
      <c r="F13" s="49"/>
      <c r="G13" s="50"/>
      <c r="H13" s="51">
        <f t="shared" si="10"/>
        <v>0</v>
      </c>
      <c r="I13" s="52">
        <f t="shared" si="11"/>
        <v>0</v>
      </c>
      <c r="J13" s="207"/>
      <c r="K13" s="248">
        <f t="shared" si="2"/>
        <v>0</v>
      </c>
      <c r="L13" s="223"/>
      <c r="M13" s="206"/>
      <c r="N13" s="195">
        <f t="shared" si="12"/>
        <v>0</v>
      </c>
      <c r="O13" s="196">
        <f t="shared" si="13"/>
        <v>0</v>
      </c>
      <c r="P13" s="66"/>
      <c r="Q13" s="31">
        <f t="shared" si="3"/>
        <v>0</v>
      </c>
      <c r="R13" s="67"/>
      <c r="S13" s="56"/>
      <c r="T13" s="57">
        <f t="shared" si="14"/>
        <v>0</v>
      </c>
      <c r="U13" s="58">
        <f t="shared" si="15"/>
        <v>0</v>
      </c>
      <c r="V13" s="68"/>
      <c r="W13" s="60">
        <f t="shared" si="0"/>
        <v>0</v>
      </c>
      <c r="X13" s="69"/>
      <c r="Y13" s="62"/>
      <c r="Z13" s="63">
        <f t="shared" si="16"/>
        <v>0</v>
      </c>
      <c r="AA13" s="41">
        <f t="shared" si="17"/>
        <v>0</v>
      </c>
      <c r="AB13" s="42">
        <f t="shared" si="4"/>
        <v>0</v>
      </c>
      <c r="AC13" s="188">
        <f t="shared" si="5"/>
        <v>0</v>
      </c>
      <c r="AD13" s="71"/>
      <c r="AE13" s="64"/>
      <c r="AG13" s="218">
        <f t="shared" si="6"/>
        <v>0</v>
      </c>
      <c r="AI13" s="64">
        <f t="shared" si="7"/>
        <v>0</v>
      </c>
      <c r="AK13" s="142">
        <f t="shared" si="8"/>
        <v>0</v>
      </c>
      <c r="AM13" s="142">
        <f t="shared" si="9"/>
        <v>0</v>
      </c>
    </row>
    <row r="14" spans="1:39" x14ac:dyDescent="0.25">
      <c r="B14" s="174">
        <v>6320</v>
      </c>
      <c r="C14" s="46" t="s">
        <v>19</v>
      </c>
      <c r="D14" s="65"/>
      <c r="E14" s="48">
        <f t="shared" si="1"/>
        <v>0</v>
      </c>
      <c r="F14" s="49"/>
      <c r="G14" s="50"/>
      <c r="H14" s="51">
        <f t="shared" si="10"/>
        <v>0</v>
      </c>
      <c r="I14" s="52">
        <f t="shared" si="11"/>
        <v>0</v>
      </c>
      <c r="J14" s="207"/>
      <c r="K14" s="248">
        <f t="shared" si="2"/>
        <v>0</v>
      </c>
      <c r="L14" s="223"/>
      <c r="M14" s="206"/>
      <c r="N14" s="195">
        <f t="shared" si="12"/>
        <v>0</v>
      </c>
      <c r="O14" s="196">
        <f t="shared" si="13"/>
        <v>0</v>
      </c>
      <c r="P14" s="66"/>
      <c r="Q14" s="31">
        <f t="shared" si="3"/>
        <v>0</v>
      </c>
      <c r="R14" s="67"/>
      <c r="S14" s="56"/>
      <c r="T14" s="57">
        <f t="shared" si="14"/>
        <v>0</v>
      </c>
      <c r="U14" s="58">
        <f t="shared" si="15"/>
        <v>0</v>
      </c>
      <c r="V14" s="68"/>
      <c r="W14" s="60">
        <f t="shared" si="0"/>
        <v>0</v>
      </c>
      <c r="X14" s="69"/>
      <c r="Y14" s="62"/>
      <c r="Z14" s="63">
        <f t="shared" si="16"/>
        <v>0</v>
      </c>
      <c r="AA14" s="41">
        <f t="shared" si="17"/>
        <v>0</v>
      </c>
      <c r="AB14" s="42">
        <f t="shared" si="4"/>
        <v>0</v>
      </c>
      <c r="AC14" s="188">
        <f t="shared" si="5"/>
        <v>0</v>
      </c>
      <c r="AD14" s="70"/>
      <c r="AE14" s="64"/>
      <c r="AG14" s="218">
        <f t="shared" si="6"/>
        <v>0</v>
      </c>
      <c r="AI14" s="64">
        <f t="shared" si="7"/>
        <v>0</v>
      </c>
      <c r="AK14" s="142">
        <f t="shared" si="8"/>
        <v>0</v>
      </c>
      <c r="AM14" s="142">
        <f t="shared" si="9"/>
        <v>0</v>
      </c>
    </row>
    <row r="15" spans="1:39" x14ac:dyDescent="0.25">
      <c r="B15" s="174">
        <v>6320</v>
      </c>
      <c r="C15" s="46" t="s">
        <v>20</v>
      </c>
      <c r="D15" s="65"/>
      <c r="E15" s="48">
        <f t="shared" si="1"/>
        <v>0</v>
      </c>
      <c r="F15" s="49"/>
      <c r="G15" s="50"/>
      <c r="H15" s="51">
        <f t="shared" si="10"/>
        <v>0</v>
      </c>
      <c r="I15" s="52">
        <f t="shared" si="11"/>
        <v>0</v>
      </c>
      <c r="J15" s="207"/>
      <c r="K15" s="248">
        <f t="shared" si="2"/>
        <v>0</v>
      </c>
      <c r="L15" s="223"/>
      <c r="M15" s="206"/>
      <c r="N15" s="195">
        <f t="shared" si="12"/>
        <v>0</v>
      </c>
      <c r="O15" s="196">
        <f t="shared" si="13"/>
        <v>0</v>
      </c>
      <c r="P15" s="66"/>
      <c r="Q15" s="31">
        <f t="shared" si="3"/>
        <v>0</v>
      </c>
      <c r="R15" s="67"/>
      <c r="S15" s="56"/>
      <c r="T15" s="57">
        <f t="shared" si="14"/>
        <v>0</v>
      </c>
      <c r="U15" s="58">
        <f t="shared" si="15"/>
        <v>0</v>
      </c>
      <c r="V15" s="68"/>
      <c r="W15" s="60">
        <f t="shared" si="0"/>
        <v>0</v>
      </c>
      <c r="X15" s="69"/>
      <c r="Y15" s="62"/>
      <c r="Z15" s="63">
        <f t="shared" si="16"/>
        <v>0</v>
      </c>
      <c r="AA15" s="41">
        <f t="shared" si="17"/>
        <v>0</v>
      </c>
      <c r="AB15" s="42">
        <f t="shared" si="4"/>
        <v>0</v>
      </c>
      <c r="AC15" s="188">
        <f t="shared" si="5"/>
        <v>0</v>
      </c>
      <c r="AD15" s="70"/>
      <c r="AE15" s="64"/>
      <c r="AG15" s="218">
        <f t="shared" si="6"/>
        <v>0</v>
      </c>
      <c r="AI15" s="64">
        <f t="shared" si="7"/>
        <v>0</v>
      </c>
      <c r="AK15" s="142">
        <f t="shared" si="8"/>
        <v>0</v>
      </c>
      <c r="AM15" s="142">
        <f t="shared" si="9"/>
        <v>0</v>
      </c>
    </row>
    <row r="16" spans="1:39" x14ac:dyDescent="0.25">
      <c r="B16" s="174">
        <v>6320</v>
      </c>
      <c r="C16" s="46" t="s">
        <v>21</v>
      </c>
      <c r="D16" s="65"/>
      <c r="E16" s="48">
        <f t="shared" si="1"/>
        <v>0</v>
      </c>
      <c r="F16" s="49"/>
      <c r="G16" s="50"/>
      <c r="H16" s="51">
        <f t="shared" si="10"/>
        <v>0</v>
      </c>
      <c r="I16" s="52">
        <f t="shared" si="11"/>
        <v>0</v>
      </c>
      <c r="J16" s="207"/>
      <c r="K16" s="248">
        <f t="shared" si="2"/>
        <v>0</v>
      </c>
      <c r="L16" s="223"/>
      <c r="M16" s="206"/>
      <c r="N16" s="195">
        <f t="shared" si="12"/>
        <v>0</v>
      </c>
      <c r="O16" s="196">
        <f t="shared" si="13"/>
        <v>0</v>
      </c>
      <c r="P16" s="66"/>
      <c r="Q16" s="31">
        <f t="shared" si="3"/>
        <v>0</v>
      </c>
      <c r="R16" s="67"/>
      <c r="S16" s="56"/>
      <c r="T16" s="57">
        <f t="shared" si="14"/>
        <v>0</v>
      </c>
      <c r="U16" s="58">
        <f t="shared" si="15"/>
        <v>0</v>
      </c>
      <c r="V16" s="68"/>
      <c r="W16" s="60">
        <f t="shared" si="0"/>
        <v>0</v>
      </c>
      <c r="X16" s="69"/>
      <c r="Y16" s="62"/>
      <c r="Z16" s="63">
        <f t="shared" si="16"/>
        <v>0</v>
      </c>
      <c r="AA16" s="41">
        <f t="shared" si="17"/>
        <v>0</v>
      </c>
      <c r="AB16" s="42">
        <f t="shared" si="4"/>
        <v>0</v>
      </c>
      <c r="AC16" s="188">
        <f t="shared" si="5"/>
        <v>0</v>
      </c>
      <c r="AD16" s="70"/>
      <c r="AE16" s="64"/>
      <c r="AG16" s="218">
        <f t="shared" si="6"/>
        <v>0</v>
      </c>
      <c r="AI16" s="64">
        <f t="shared" si="7"/>
        <v>0</v>
      </c>
      <c r="AK16" s="142">
        <f t="shared" si="8"/>
        <v>0</v>
      </c>
      <c r="AM16" s="142">
        <f t="shared" si="9"/>
        <v>0</v>
      </c>
    </row>
    <row r="17" spans="2:41" x14ac:dyDescent="0.25">
      <c r="B17" s="174">
        <v>6320</v>
      </c>
      <c r="C17" s="46" t="s">
        <v>22</v>
      </c>
      <c r="D17" s="65"/>
      <c r="E17" s="48">
        <f t="shared" si="1"/>
        <v>0</v>
      </c>
      <c r="F17" s="49"/>
      <c r="G17" s="50"/>
      <c r="H17" s="51">
        <f t="shared" si="10"/>
        <v>0</v>
      </c>
      <c r="I17" s="52">
        <f t="shared" si="11"/>
        <v>0</v>
      </c>
      <c r="J17" s="207"/>
      <c r="K17" s="248">
        <f t="shared" si="2"/>
        <v>0</v>
      </c>
      <c r="L17" s="223"/>
      <c r="M17" s="206"/>
      <c r="N17" s="195">
        <f t="shared" si="12"/>
        <v>0</v>
      </c>
      <c r="O17" s="196">
        <f t="shared" si="13"/>
        <v>0</v>
      </c>
      <c r="P17" s="66"/>
      <c r="Q17" s="31">
        <f t="shared" si="3"/>
        <v>0</v>
      </c>
      <c r="R17" s="67"/>
      <c r="S17" s="56"/>
      <c r="T17" s="57">
        <f t="shared" si="14"/>
        <v>0</v>
      </c>
      <c r="U17" s="58">
        <f t="shared" si="15"/>
        <v>0</v>
      </c>
      <c r="V17" s="68"/>
      <c r="W17" s="60">
        <f t="shared" si="0"/>
        <v>0</v>
      </c>
      <c r="X17" s="69"/>
      <c r="Y17" s="62"/>
      <c r="Z17" s="63">
        <f t="shared" si="16"/>
        <v>0</v>
      </c>
      <c r="AA17" s="41">
        <f t="shared" si="17"/>
        <v>0</v>
      </c>
      <c r="AB17" s="42">
        <f t="shared" si="4"/>
        <v>0</v>
      </c>
      <c r="AC17" s="188">
        <f t="shared" si="5"/>
        <v>0</v>
      </c>
      <c r="AD17" s="70"/>
      <c r="AE17" s="64"/>
      <c r="AG17" s="218">
        <f t="shared" si="6"/>
        <v>0</v>
      </c>
      <c r="AI17" s="64">
        <f t="shared" si="7"/>
        <v>0</v>
      </c>
      <c r="AK17" s="142">
        <f t="shared" si="8"/>
        <v>0</v>
      </c>
      <c r="AM17" s="142">
        <f t="shared" si="9"/>
        <v>0</v>
      </c>
    </row>
    <row r="18" spans="2:41" x14ac:dyDescent="0.25">
      <c r="B18" s="174" t="s">
        <v>26</v>
      </c>
      <c r="C18" s="46" t="s">
        <v>33</v>
      </c>
      <c r="D18" s="65"/>
      <c r="E18" s="48">
        <v>0</v>
      </c>
      <c r="F18" s="49"/>
      <c r="G18" s="50"/>
      <c r="H18" s="51">
        <f t="shared" si="10"/>
        <v>0</v>
      </c>
      <c r="I18" s="52">
        <f t="shared" si="11"/>
        <v>0</v>
      </c>
      <c r="J18" s="207"/>
      <c r="K18" s="248">
        <v>0</v>
      </c>
      <c r="L18" s="223"/>
      <c r="M18" s="206"/>
      <c r="N18" s="195">
        <f t="shared" si="12"/>
        <v>0</v>
      </c>
      <c r="O18" s="196">
        <f t="shared" si="13"/>
        <v>0</v>
      </c>
      <c r="P18" s="66"/>
      <c r="Q18" s="31">
        <v>0</v>
      </c>
      <c r="R18" s="67"/>
      <c r="S18" s="56"/>
      <c r="T18" s="57">
        <f t="shared" si="14"/>
        <v>0</v>
      </c>
      <c r="U18" s="58">
        <v>0</v>
      </c>
      <c r="V18" s="68"/>
      <c r="W18" s="60">
        <v>0</v>
      </c>
      <c r="X18" s="69"/>
      <c r="Y18" s="62"/>
      <c r="Z18" s="63">
        <f>+X18+V18</f>
        <v>0</v>
      </c>
      <c r="AA18" s="41">
        <f>+Y18+W18</f>
        <v>0</v>
      </c>
      <c r="AB18" s="42">
        <f t="shared" si="4"/>
        <v>0</v>
      </c>
      <c r="AC18" s="188">
        <f t="shared" si="5"/>
        <v>0</v>
      </c>
      <c r="AD18" s="70"/>
      <c r="AE18" s="64"/>
      <c r="AG18" s="218">
        <f t="shared" si="6"/>
        <v>0</v>
      </c>
      <c r="AI18" s="64">
        <f t="shared" si="7"/>
        <v>0</v>
      </c>
      <c r="AK18" s="142">
        <f t="shared" si="8"/>
        <v>0</v>
      </c>
      <c r="AM18" s="142">
        <f t="shared" si="9"/>
        <v>0</v>
      </c>
    </row>
    <row r="19" spans="2:41" x14ac:dyDescent="0.25">
      <c r="B19" s="175">
        <v>14010</v>
      </c>
      <c r="C19" s="46" t="s">
        <v>23</v>
      </c>
      <c r="D19" s="65"/>
      <c r="E19" s="48">
        <f t="shared" si="1"/>
        <v>0</v>
      </c>
      <c r="F19" s="49"/>
      <c r="G19" s="50"/>
      <c r="H19" s="51">
        <f t="shared" si="10"/>
        <v>0</v>
      </c>
      <c r="I19" s="52">
        <f t="shared" si="11"/>
        <v>0</v>
      </c>
      <c r="J19" s="207"/>
      <c r="K19" s="248">
        <f t="shared" si="2"/>
        <v>0</v>
      </c>
      <c r="L19" s="223"/>
      <c r="M19" s="206"/>
      <c r="N19" s="195">
        <f t="shared" si="12"/>
        <v>0</v>
      </c>
      <c r="O19" s="196">
        <f t="shared" si="13"/>
        <v>0</v>
      </c>
      <c r="P19" s="66"/>
      <c r="Q19" s="31">
        <f t="shared" si="3"/>
        <v>0</v>
      </c>
      <c r="R19" s="67"/>
      <c r="S19" s="56"/>
      <c r="T19" s="57">
        <f t="shared" si="14"/>
        <v>0</v>
      </c>
      <c r="U19" s="58">
        <f t="shared" si="15"/>
        <v>0</v>
      </c>
      <c r="V19" s="68"/>
      <c r="W19" s="60">
        <f t="shared" si="0"/>
        <v>0</v>
      </c>
      <c r="X19" s="69"/>
      <c r="Y19" s="62"/>
      <c r="Z19" s="63">
        <f t="shared" si="16"/>
        <v>0</v>
      </c>
      <c r="AA19" s="41">
        <f t="shared" si="17"/>
        <v>0</v>
      </c>
      <c r="AB19" s="42">
        <f t="shared" si="4"/>
        <v>0</v>
      </c>
      <c r="AC19" s="188">
        <f t="shared" si="5"/>
        <v>0</v>
      </c>
      <c r="AD19" s="70"/>
      <c r="AE19" s="64"/>
      <c r="AG19" s="218">
        <f t="shared" si="6"/>
        <v>0</v>
      </c>
      <c r="AI19" s="64">
        <f t="shared" si="7"/>
        <v>0</v>
      </c>
      <c r="AK19" s="142">
        <f t="shared" si="8"/>
        <v>0</v>
      </c>
      <c r="AM19" s="142">
        <f t="shared" si="9"/>
        <v>0</v>
      </c>
    </row>
    <row r="20" spans="2:41" x14ac:dyDescent="0.25">
      <c r="B20" s="174">
        <v>11870</v>
      </c>
      <c r="C20" s="46" t="s">
        <v>24</v>
      </c>
      <c r="D20" s="65"/>
      <c r="E20" s="48">
        <f t="shared" si="1"/>
        <v>0</v>
      </c>
      <c r="F20" s="49"/>
      <c r="G20" s="50"/>
      <c r="H20" s="51">
        <f t="shared" si="10"/>
        <v>0</v>
      </c>
      <c r="I20" s="52">
        <f t="shared" si="11"/>
        <v>0</v>
      </c>
      <c r="J20" s="207"/>
      <c r="K20" s="248">
        <f t="shared" si="2"/>
        <v>0</v>
      </c>
      <c r="L20" s="223"/>
      <c r="M20" s="206"/>
      <c r="N20" s="195">
        <f t="shared" si="12"/>
        <v>0</v>
      </c>
      <c r="O20" s="196">
        <f t="shared" si="13"/>
        <v>0</v>
      </c>
      <c r="P20" s="66"/>
      <c r="Q20" s="31">
        <f t="shared" si="3"/>
        <v>0</v>
      </c>
      <c r="R20" s="67"/>
      <c r="S20" s="56"/>
      <c r="T20" s="57">
        <f t="shared" si="14"/>
        <v>0</v>
      </c>
      <c r="U20" s="58">
        <f t="shared" si="15"/>
        <v>0</v>
      </c>
      <c r="V20" s="68"/>
      <c r="W20" s="60">
        <f t="shared" si="0"/>
        <v>0</v>
      </c>
      <c r="X20" s="69"/>
      <c r="Y20" s="62"/>
      <c r="Z20" s="63">
        <f t="shared" si="16"/>
        <v>0</v>
      </c>
      <c r="AA20" s="41">
        <f t="shared" si="17"/>
        <v>0</v>
      </c>
      <c r="AB20" s="42">
        <f t="shared" si="4"/>
        <v>0</v>
      </c>
      <c r="AC20" s="188">
        <f t="shared" si="5"/>
        <v>0</v>
      </c>
      <c r="AD20" s="70"/>
      <c r="AE20" s="64"/>
      <c r="AG20" s="218">
        <f t="shared" si="6"/>
        <v>0</v>
      </c>
      <c r="AI20" s="64">
        <f t="shared" si="7"/>
        <v>0</v>
      </c>
      <c r="AK20" s="142">
        <f t="shared" si="8"/>
        <v>0</v>
      </c>
      <c r="AM20" s="142">
        <f t="shared" si="9"/>
        <v>0</v>
      </c>
    </row>
    <row r="21" spans="2:41" x14ac:dyDescent="0.25">
      <c r="B21" s="174">
        <v>6710</v>
      </c>
      <c r="C21" s="46" t="s">
        <v>0</v>
      </c>
      <c r="D21" s="65"/>
      <c r="E21" s="48">
        <f t="shared" si="1"/>
        <v>0</v>
      </c>
      <c r="F21" s="72"/>
      <c r="G21" s="50"/>
      <c r="H21" s="51">
        <f t="shared" si="10"/>
        <v>0</v>
      </c>
      <c r="I21" s="52">
        <f t="shared" si="11"/>
        <v>0</v>
      </c>
      <c r="J21" s="207"/>
      <c r="K21" s="248">
        <f t="shared" si="2"/>
        <v>0</v>
      </c>
      <c r="L21" s="224"/>
      <c r="M21" s="206"/>
      <c r="N21" s="195">
        <f t="shared" si="12"/>
        <v>0</v>
      </c>
      <c r="O21" s="196">
        <f t="shared" si="13"/>
        <v>0</v>
      </c>
      <c r="P21" s="66"/>
      <c r="Q21" s="31">
        <f t="shared" si="3"/>
        <v>0</v>
      </c>
      <c r="R21" s="73"/>
      <c r="S21" s="56"/>
      <c r="T21" s="57">
        <f t="shared" si="14"/>
        <v>0</v>
      </c>
      <c r="U21" s="58">
        <f t="shared" si="15"/>
        <v>0</v>
      </c>
      <c r="V21" s="68"/>
      <c r="W21" s="60">
        <f t="shared" si="0"/>
        <v>0</v>
      </c>
      <c r="X21" s="74"/>
      <c r="Y21" s="62"/>
      <c r="Z21" s="63">
        <f t="shared" si="16"/>
        <v>0</v>
      </c>
      <c r="AA21" s="41">
        <f t="shared" si="17"/>
        <v>0</v>
      </c>
      <c r="AB21" s="42">
        <f t="shared" si="4"/>
        <v>0</v>
      </c>
      <c r="AC21" s="188">
        <f t="shared" si="5"/>
        <v>0</v>
      </c>
      <c r="AD21" s="70"/>
      <c r="AE21" s="64"/>
      <c r="AF21" s="1" t="s">
        <v>25</v>
      </c>
      <c r="AG21" s="218">
        <f t="shared" si="6"/>
        <v>0</v>
      </c>
      <c r="AI21" s="64">
        <f t="shared" si="7"/>
        <v>0</v>
      </c>
      <c r="AK21" s="142">
        <f t="shared" si="8"/>
        <v>0</v>
      </c>
      <c r="AM21" s="142">
        <f t="shared" si="9"/>
        <v>0</v>
      </c>
    </row>
    <row r="22" spans="2:41" x14ac:dyDescent="0.25">
      <c r="B22" s="174" t="s">
        <v>26</v>
      </c>
      <c r="C22" s="46" t="s">
        <v>0</v>
      </c>
      <c r="D22" s="65"/>
      <c r="E22" s="48">
        <v>0</v>
      </c>
      <c r="F22" s="49"/>
      <c r="G22" s="50"/>
      <c r="H22" s="51">
        <f t="shared" si="10"/>
        <v>0</v>
      </c>
      <c r="I22" s="52">
        <f t="shared" si="11"/>
        <v>0</v>
      </c>
      <c r="J22" s="207"/>
      <c r="K22" s="248">
        <v>0</v>
      </c>
      <c r="L22" s="223"/>
      <c r="M22" s="206"/>
      <c r="N22" s="195">
        <f t="shared" si="12"/>
        <v>0</v>
      </c>
      <c r="O22" s="196">
        <f t="shared" si="13"/>
        <v>0</v>
      </c>
      <c r="P22" s="66"/>
      <c r="Q22" s="31">
        <v>0</v>
      </c>
      <c r="R22" s="67"/>
      <c r="S22" s="56"/>
      <c r="T22" s="57">
        <f t="shared" si="14"/>
        <v>0</v>
      </c>
      <c r="U22" s="58">
        <f t="shared" si="15"/>
        <v>0</v>
      </c>
      <c r="V22" s="68"/>
      <c r="W22" s="60">
        <v>0</v>
      </c>
      <c r="X22" s="69"/>
      <c r="Y22" s="62"/>
      <c r="Z22" s="63">
        <f t="shared" si="16"/>
        <v>0</v>
      </c>
      <c r="AA22" s="41">
        <f t="shared" si="17"/>
        <v>0</v>
      </c>
      <c r="AB22" s="42">
        <f t="shared" si="4"/>
        <v>0</v>
      </c>
      <c r="AC22" s="188">
        <f t="shared" si="5"/>
        <v>0</v>
      </c>
      <c r="AD22" s="70"/>
      <c r="AE22" s="64"/>
      <c r="AG22" s="218">
        <f t="shared" si="6"/>
        <v>0</v>
      </c>
      <c r="AI22" s="64">
        <f t="shared" si="7"/>
        <v>0</v>
      </c>
      <c r="AK22" s="142">
        <f t="shared" si="8"/>
        <v>0</v>
      </c>
      <c r="AM22" s="142">
        <f t="shared" si="9"/>
        <v>0</v>
      </c>
    </row>
    <row r="23" spans="2:41" x14ac:dyDescent="0.25">
      <c r="B23" s="174" t="s">
        <v>26</v>
      </c>
      <c r="C23" s="46" t="s">
        <v>27</v>
      </c>
      <c r="D23" s="65"/>
      <c r="E23" s="75">
        <v>0</v>
      </c>
      <c r="F23" s="49"/>
      <c r="G23" s="50"/>
      <c r="H23" s="51">
        <f t="shared" si="10"/>
        <v>0</v>
      </c>
      <c r="I23" s="52">
        <f t="shared" si="11"/>
        <v>0</v>
      </c>
      <c r="J23" s="207"/>
      <c r="K23" s="248">
        <v>0</v>
      </c>
      <c r="L23" s="223"/>
      <c r="M23" s="206"/>
      <c r="N23" s="195">
        <f t="shared" si="12"/>
        <v>0</v>
      </c>
      <c r="O23" s="196">
        <f t="shared" si="13"/>
        <v>0</v>
      </c>
      <c r="P23" s="66"/>
      <c r="Q23" s="31">
        <v>0</v>
      </c>
      <c r="R23" s="67"/>
      <c r="S23" s="56"/>
      <c r="T23" s="57">
        <f t="shared" si="14"/>
        <v>0</v>
      </c>
      <c r="U23" s="58">
        <f t="shared" si="15"/>
        <v>0</v>
      </c>
      <c r="V23" s="68"/>
      <c r="W23" s="60">
        <v>0</v>
      </c>
      <c r="X23" s="69"/>
      <c r="Y23" s="62"/>
      <c r="Z23" s="63">
        <f t="shared" si="16"/>
        <v>0</v>
      </c>
      <c r="AA23" s="41">
        <f t="shared" si="17"/>
        <v>0</v>
      </c>
      <c r="AB23" s="42">
        <f t="shared" si="4"/>
        <v>0</v>
      </c>
      <c r="AC23" s="188">
        <f t="shared" si="5"/>
        <v>0</v>
      </c>
      <c r="AD23" s="70"/>
      <c r="AE23" s="64"/>
      <c r="AG23" s="218">
        <f t="shared" si="6"/>
        <v>0</v>
      </c>
      <c r="AI23" s="64">
        <f t="shared" si="7"/>
        <v>0</v>
      </c>
      <c r="AK23" s="142">
        <f t="shared" si="8"/>
        <v>0</v>
      </c>
      <c r="AM23" s="142">
        <f t="shared" si="9"/>
        <v>0</v>
      </c>
    </row>
    <row r="24" spans="2:41" x14ac:dyDescent="0.25">
      <c r="B24" s="174" t="s">
        <v>26</v>
      </c>
      <c r="C24" s="46" t="s">
        <v>28</v>
      </c>
      <c r="D24" s="65"/>
      <c r="E24" s="75">
        <v>0</v>
      </c>
      <c r="F24" s="49"/>
      <c r="G24" s="50"/>
      <c r="H24" s="51">
        <f t="shared" si="10"/>
        <v>0</v>
      </c>
      <c r="I24" s="52">
        <f t="shared" si="11"/>
        <v>0</v>
      </c>
      <c r="J24" s="207"/>
      <c r="K24" s="248">
        <v>0</v>
      </c>
      <c r="L24" s="223"/>
      <c r="M24" s="206"/>
      <c r="N24" s="195">
        <f t="shared" si="12"/>
        <v>0</v>
      </c>
      <c r="O24" s="196">
        <f t="shared" si="13"/>
        <v>0</v>
      </c>
      <c r="P24" s="66"/>
      <c r="Q24" s="31">
        <v>0</v>
      </c>
      <c r="R24" s="67"/>
      <c r="S24" s="56"/>
      <c r="T24" s="57">
        <f t="shared" si="14"/>
        <v>0</v>
      </c>
      <c r="U24" s="58">
        <f t="shared" si="15"/>
        <v>0</v>
      </c>
      <c r="V24" s="68"/>
      <c r="W24" s="60">
        <v>0</v>
      </c>
      <c r="X24" s="69"/>
      <c r="Y24" s="62"/>
      <c r="Z24" s="63">
        <f t="shared" si="16"/>
        <v>0</v>
      </c>
      <c r="AA24" s="41">
        <f t="shared" si="17"/>
        <v>0</v>
      </c>
      <c r="AB24" s="42">
        <f t="shared" si="4"/>
        <v>0</v>
      </c>
      <c r="AC24" s="188">
        <f t="shared" si="5"/>
        <v>0</v>
      </c>
      <c r="AD24" s="70"/>
      <c r="AE24" s="64"/>
      <c r="AG24" s="218">
        <f t="shared" si="6"/>
        <v>0</v>
      </c>
      <c r="AI24" s="64">
        <f t="shared" si="7"/>
        <v>0</v>
      </c>
      <c r="AK24" s="142">
        <f t="shared" si="8"/>
        <v>0</v>
      </c>
      <c r="AM24" s="142">
        <f t="shared" si="9"/>
        <v>0</v>
      </c>
    </row>
    <row r="25" spans="2:41" ht="15.75" thickBot="1" x14ac:dyDescent="0.3">
      <c r="B25" s="176" t="s">
        <v>26</v>
      </c>
      <c r="C25" s="76" t="s">
        <v>29</v>
      </c>
      <c r="D25" s="77"/>
      <c r="E25" s="78">
        <v>0</v>
      </c>
      <c r="F25" s="79"/>
      <c r="G25" s="80"/>
      <c r="H25" s="81">
        <f t="shared" si="10"/>
        <v>0</v>
      </c>
      <c r="I25" s="82">
        <f t="shared" si="11"/>
        <v>0</v>
      </c>
      <c r="J25" s="210"/>
      <c r="K25" s="250">
        <v>0</v>
      </c>
      <c r="L25" s="225"/>
      <c r="M25" s="213"/>
      <c r="N25" s="197">
        <f t="shared" si="12"/>
        <v>0</v>
      </c>
      <c r="O25" s="198">
        <f t="shared" si="13"/>
        <v>0</v>
      </c>
      <c r="P25" s="83"/>
      <c r="Q25" s="84">
        <v>0</v>
      </c>
      <c r="R25" s="85"/>
      <c r="S25" s="86"/>
      <c r="T25" s="87">
        <f t="shared" si="14"/>
        <v>0</v>
      </c>
      <c r="U25" s="88">
        <f t="shared" si="15"/>
        <v>0</v>
      </c>
      <c r="V25" s="89"/>
      <c r="W25" s="60">
        <v>0</v>
      </c>
      <c r="X25" s="90"/>
      <c r="Y25" s="91"/>
      <c r="Z25" s="92">
        <f t="shared" si="16"/>
        <v>0</v>
      </c>
      <c r="AA25" s="93">
        <f t="shared" si="17"/>
        <v>0</v>
      </c>
      <c r="AB25" s="42">
        <f t="shared" si="4"/>
        <v>0</v>
      </c>
      <c r="AC25" s="188">
        <f t="shared" si="5"/>
        <v>0</v>
      </c>
      <c r="AD25" s="70"/>
      <c r="AE25" s="94"/>
      <c r="AG25" s="219">
        <f t="shared" si="6"/>
        <v>0</v>
      </c>
      <c r="AI25" s="94">
        <f t="shared" si="7"/>
        <v>0</v>
      </c>
      <c r="AK25" s="144">
        <f t="shared" si="8"/>
        <v>0</v>
      </c>
      <c r="AM25" s="144">
        <f t="shared" si="9"/>
        <v>0</v>
      </c>
    </row>
    <row r="26" spans="2:41" ht="15.75" thickBot="1" x14ac:dyDescent="0.3">
      <c r="D26" s="95">
        <f t="shared" ref="D26:AA26" si="18">SUM(D8:D25)</f>
        <v>0</v>
      </c>
      <c r="E26" s="96">
        <f t="shared" si="18"/>
        <v>0</v>
      </c>
      <c r="F26" s="95">
        <f t="shared" si="18"/>
        <v>0</v>
      </c>
      <c r="G26" s="97">
        <f t="shared" si="18"/>
        <v>0</v>
      </c>
      <c r="H26" s="98">
        <f t="shared" si="18"/>
        <v>0</v>
      </c>
      <c r="I26" s="99">
        <f t="shared" si="18"/>
        <v>0</v>
      </c>
      <c r="J26" s="214">
        <f t="shared" ref="J26:O26" si="19">SUM(J8:J25)</f>
        <v>0</v>
      </c>
      <c r="K26" s="226">
        <f t="shared" si="19"/>
        <v>0</v>
      </c>
      <c r="L26" s="214">
        <f t="shared" si="19"/>
        <v>0</v>
      </c>
      <c r="M26" s="216">
        <f t="shared" si="19"/>
        <v>0</v>
      </c>
      <c r="N26" s="217">
        <f t="shared" si="19"/>
        <v>0</v>
      </c>
      <c r="O26" s="99">
        <f t="shared" si="19"/>
        <v>0</v>
      </c>
      <c r="P26" s="100">
        <f t="shared" si="18"/>
        <v>0</v>
      </c>
      <c r="Q26" s="101">
        <f t="shared" si="18"/>
        <v>0</v>
      </c>
      <c r="R26" s="100">
        <f t="shared" si="18"/>
        <v>0</v>
      </c>
      <c r="S26" s="102">
        <f t="shared" si="18"/>
        <v>0</v>
      </c>
      <c r="T26" s="103">
        <f t="shared" si="18"/>
        <v>0</v>
      </c>
      <c r="U26" s="104">
        <f t="shared" si="18"/>
        <v>0</v>
      </c>
      <c r="V26" s="105">
        <f t="shared" si="18"/>
        <v>0</v>
      </c>
      <c r="W26" s="106">
        <f t="shared" si="18"/>
        <v>0</v>
      </c>
      <c r="X26" s="105">
        <f t="shared" si="18"/>
        <v>0</v>
      </c>
      <c r="Y26" s="107">
        <f t="shared" si="18"/>
        <v>0</v>
      </c>
      <c r="Z26" s="108">
        <f t="shared" si="18"/>
        <v>0</v>
      </c>
      <c r="AA26" s="104">
        <f t="shared" si="18"/>
        <v>0</v>
      </c>
      <c r="AB26" s="109" t="s">
        <v>9</v>
      </c>
      <c r="AC26" s="43">
        <f>SUM(AC8:AC25)</f>
        <v>0</v>
      </c>
      <c r="AD26" s="70"/>
      <c r="AE26" s="1">
        <f>SUM(AE8:AE25)</f>
        <v>0</v>
      </c>
      <c r="AI26" s="110"/>
      <c r="AK26" s="1">
        <f>SUM(AK8:AK25)</f>
        <v>0</v>
      </c>
      <c r="AM26" s="1">
        <f>SUM(AM8:AM25)</f>
        <v>0</v>
      </c>
      <c r="AO26" s="1">
        <f>+AK26+AM26</f>
        <v>0</v>
      </c>
    </row>
    <row r="27" spans="2:41" x14ac:dyDescent="0.25">
      <c r="G27" s="111"/>
      <c r="H27" s="111"/>
      <c r="I27" s="111"/>
      <c r="M27" s="111"/>
      <c r="N27" s="111"/>
      <c r="O27" s="111"/>
      <c r="P27" s="111"/>
      <c r="Q27" s="111"/>
      <c r="R27" s="112">
        <f>X26+F26+R26+L26</f>
        <v>0</v>
      </c>
      <c r="S27" s="113">
        <f>G26+Y26+S26+M26</f>
        <v>0</v>
      </c>
      <c r="T27" s="111"/>
      <c r="U27" s="111"/>
      <c r="V27" s="111"/>
      <c r="W27" s="111"/>
      <c r="X27" s="111"/>
      <c r="Y27" s="111"/>
      <c r="Z27" s="111"/>
      <c r="AA27" s="111"/>
      <c r="AB27" s="2"/>
      <c r="AC27" s="70">
        <f>AA26+U26+I26+O26</f>
        <v>0</v>
      </c>
      <c r="AD27" s="2"/>
    </row>
    <row r="28" spans="2:41" x14ac:dyDescent="0.25">
      <c r="D28" s="114" t="s">
        <v>30</v>
      </c>
      <c r="E28" s="114"/>
      <c r="G28" s="114"/>
      <c r="H28" s="114"/>
      <c r="I28" s="114"/>
      <c r="J28" s="114" t="s">
        <v>30</v>
      </c>
      <c r="K28" s="114"/>
      <c r="M28" s="114"/>
      <c r="N28" s="114"/>
      <c r="O28" s="114"/>
      <c r="P28" s="114"/>
      <c r="Q28" s="114"/>
      <c r="R28" s="114"/>
      <c r="S28" s="114"/>
      <c r="T28" s="114"/>
      <c r="U28" s="114"/>
      <c r="AA28" s="2"/>
      <c r="AB28" s="2"/>
      <c r="AC28" s="2"/>
      <c r="AD28" s="2"/>
    </row>
    <row r="29" spans="2:41" x14ac:dyDescent="0.25">
      <c r="D29" s="114"/>
      <c r="E29" s="114"/>
      <c r="J29" s="114"/>
      <c r="K29" s="114"/>
      <c r="P29" s="1"/>
      <c r="Q29" s="1"/>
      <c r="R29" s="1"/>
      <c r="S29" s="1"/>
      <c r="T29" s="1"/>
      <c r="U29" s="1"/>
      <c r="AA29" s="2"/>
      <c r="AB29" s="2"/>
      <c r="AC29" s="2"/>
      <c r="AD29" s="2"/>
    </row>
    <row r="30" spans="2:41" x14ac:dyDescent="0.25">
      <c r="C30" s="115">
        <v>20000</v>
      </c>
      <c r="D30" s="115"/>
      <c r="E30" s="115"/>
      <c r="F30" s="116"/>
      <c r="G30" s="117"/>
      <c r="H30" s="118"/>
      <c r="I30" s="119"/>
      <c r="J30" s="115"/>
      <c r="K30" s="115"/>
      <c r="L30" s="116"/>
      <c r="M30" s="117"/>
      <c r="N30" s="118"/>
      <c r="O30" s="119"/>
      <c r="P30" s="119"/>
      <c r="Q30" s="119"/>
      <c r="R30" s="119"/>
      <c r="S30" s="119"/>
      <c r="T30" s="119"/>
      <c r="U30" s="119"/>
      <c r="V30" s="119"/>
      <c r="W30" s="119"/>
      <c r="X30" s="120"/>
      <c r="Y30" s="121"/>
      <c r="Z30" s="120"/>
      <c r="AA30" s="119"/>
      <c r="AB30" s="122"/>
      <c r="AC30" s="122"/>
      <c r="AD30" s="2"/>
      <c r="AE30" s="2"/>
      <c r="AF30" s="2"/>
    </row>
    <row r="31" spans="2:41" x14ac:dyDescent="0.25">
      <c r="C31" s="115">
        <v>10000</v>
      </c>
      <c r="D31" s="115"/>
      <c r="E31" s="115"/>
      <c r="F31" s="116"/>
      <c r="G31" s="117"/>
      <c r="H31" s="118"/>
      <c r="I31" s="119"/>
      <c r="J31" s="115"/>
      <c r="K31" s="115"/>
      <c r="L31" s="116"/>
      <c r="M31" s="117"/>
      <c r="N31" s="118"/>
      <c r="O31" s="119"/>
      <c r="P31" s="119"/>
      <c r="Q31" s="119"/>
      <c r="R31" s="119"/>
      <c r="S31" s="119"/>
      <c r="T31" s="119"/>
      <c r="U31" s="119"/>
      <c r="V31" s="119"/>
      <c r="W31" s="119"/>
      <c r="X31" s="120"/>
      <c r="Y31" s="122"/>
      <c r="Z31" s="120"/>
      <c r="AA31" s="119"/>
      <c r="AB31" s="122"/>
      <c r="AC31" s="122"/>
      <c r="AD31" s="2"/>
      <c r="AE31" s="2"/>
      <c r="AF31" s="2"/>
    </row>
    <row r="32" spans="2:41" x14ac:dyDescent="0.25">
      <c r="C32" s="115">
        <v>5000</v>
      </c>
      <c r="D32" s="115"/>
      <c r="E32" s="115"/>
      <c r="F32" s="116"/>
      <c r="G32" s="117"/>
      <c r="H32" s="118"/>
      <c r="I32" s="119"/>
      <c r="J32" s="115"/>
      <c r="K32" s="115"/>
      <c r="L32" s="116"/>
      <c r="M32" s="117"/>
      <c r="N32" s="118"/>
      <c r="O32" s="119"/>
      <c r="P32" s="119"/>
      <c r="Q32" s="119"/>
      <c r="R32" s="119"/>
      <c r="S32" s="119"/>
      <c r="T32" s="119"/>
      <c r="U32" s="119"/>
      <c r="V32" s="119"/>
      <c r="W32" s="119"/>
      <c r="X32" s="120"/>
      <c r="Y32" s="121"/>
      <c r="Z32" s="120"/>
      <c r="AA32" s="119"/>
      <c r="AB32" s="122"/>
      <c r="AC32" s="122"/>
      <c r="AD32" s="2"/>
      <c r="AE32" s="2"/>
      <c r="AF32" s="2"/>
    </row>
    <row r="33" spans="2:33" x14ac:dyDescent="0.25">
      <c r="C33" s="115">
        <v>2000</v>
      </c>
      <c r="D33" s="115"/>
      <c r="E33" s="115"/>
      <c r="F33" s="116"/>
      <c r="G33" s="117"/>
      <c r="H33" s="118"/>
      <c r="I33" s="119"/>
      <c r="J33" s="115"/>
      <c r="K33" s="115"/>
      <c r="L33" s="116"/>
      <c r="M33" s="117"/>
      <c r="N33" s="118"/>
      <c r="O33" s="119"/>
      <c r="P33" s="119"/>
      <c r="Q33" s="119"/>
      <c r="R33" s="119"/>
      <c r="S33" s="119"/>
      <c r="T33" s="119"/>
      <c r="U33" s="119"/>
      <c r="V33" s="119"/>
      <c r="W33" s="119"/>
      <c r="X33" s="120"/>
      <c r="Y33" s="121"/>
      <c r="Z33" s="120"/>
      <c r="AA33" s="119"/>
      <c r="AB33" s="122"/>
      <c r="AC33" s="122"/>
      <c r="AD33" s="123"/>
    </row>
    <row r="34" spans="2:33" x14ac:dyDescent="0.25">
      <c r="C34" s="115">
        <v>1000</v>
      </c>
      <c r="D34" s="115"/>
      <c r="E34" s="115"/>
      <c r="F34" s="116"/>
      <c r="G34" s="117"/>
      <c r="H34" s="118"/>
      <c r="I34" s="124"/>
      <c r="J34" s="115"/>
      <c r="K34" s="115"/>
      <c r="L34" s="116"/>
      <c r="M34" s="117"/>
      <c r="N34" s="118"/>
      <c r="O34" s="124"/>
      <c r="P34" s="124"/>
      <c r="Q34" s="124"/>
      <c r="R34" s="124"/>
      <c r="S34" s="124"/>
      <c r="T34" s="124"/>
      <c r="U34" s="124"/>
      <c r="V34" s="124"/>
      <c r="W34" s="124"/>
      <c r="X34" s="120"/>
      <c r="Y34" s="121"/>
      <c r="Z34" s="120"/>
      <c r="AA34" s="124"/>
      <c r="AB34" s="122"/>
      <c r="AC34" s="122"/>
      <c r="AD34" s="2"/>
    </row>
    <row r="35" spans="2:33" x14ac:dyDescent="0.25">
      <c r="C35" s="115">
        <v>500</v>
      </c>
      <c r="D35" s="115"/>
      <c r="E35" s="115"/>
      <c r="F35" s="116"/>
      <c r="G35" s="117"/>
      <c r="H35" s="118"/>
      <c r="I35" s="119"/>
      <c r="J35" s="115"/>
      <c r="K35" s="115"/>
      <c r="L35" s="116"/>
      <c r="M35" s="117"/>
      <c r="N35" s="118"/>
      <c r="O35" s="119"/>
      <c r="P35" s="119"/>
      <c r="Q35" s="119"/>
      <c r="R35" s="119"/>
      <c r="S35" s="119"/>
      <c r="T35" s="119"/>
      <c r="U35" s="119"/>
      <c r="V35" s="119"/>
      <c r="W35" s="119"/>
      <c r="X35" s="120"/>
      <c r="Y35" s="121"/>
      <c r="Z35" s="120"/>
      <c r="AA35" s="119"/>
      <c r="AB35" s="121"/>
      <c r="AC35" s="121"/>
      <c r="AD35" s="2"/>
    </row>
    <row r="36" spans="2:33" x14ac:dyDescent="0.25">
      <c r="C36" s="115">
        <v>100</v>
      </c>
      <c r="D36" s="115"/>
      <c r="E36" s="115"/>
      <c r="F36" s="116"/>
      <c r="G36" s="117"/>
      <c r="H36" s="118"/>
      <c r="I36" s="119"/>
      <c r="J36" s="115"/>
      <c r="K36" s="115"/>
      <c r="L36" s="116"/>
      <c r="M36" s="117"/>
      <c r="N36" s="118"/>
      <c r="O36" s="119"/>
      <c r="P36" s="119"/>
      <c r="Q36" s="119"/>
      <c r="R36" s="119"/>
      <c r="S36" s="119"/>
      <c r="T36" s="119"/>
      <c r="U36" s="119"/>
      <c r="V36" s="119"/>
      <c r="W36" s="119"/>
      <c r="X36" s="120"/>
      <c r="Y36" s="121"/>
      <c r="Z36" s="120"/>
      <c r="AA36" s="119"/>
      <c r="AB36" s="121"/>
      <c r="AC36" s="121"/>
      <c r="AD36" s="2"/>
    </row>
    <row r="37" spans="2:33" x14ac:dyDescent="0.25">
      <c r="C37" s="115">
        <v>50</v>
      </c>
      <c r="D37" s="115"/>
      <c r="E37" s="115"/>
      <c r="F37" s="116"/>
      <c r="G37" s="117"/>
      <c r="H37" s="118"/>
      <c r="I37" s="119"/>
      <c r="J37" s="115"/>
      <c r="K37" s="115"/>
      <c r="L37" s="116"/>
      <c r="M37" s="117"/>
      <c r="N37" s="118"/>
      <c r="O37" s="119"/>
      <c r="P37" s="119"/>
      <c r="Q37" s="119"/>
      <c r="R37" s="119"/>
      <c r="S37" s="119"/>
      <c r="T37" s="119"/>
      <c r="U37" s="119"/>
      <c r="V37" s="119"/>
      <c r="W37" s="119"/>
      <c r="X37" s="120"/>
      <c r="Y37" s="121"/>
      <c r="Z37" s="120"/>
      <c r="AA37" s="119"/>
      <c r="AB37" s="121"/>
      <c r="AC37" s="121"/>
      <c r="AD37" s="2"/>
    </row>
    <row r="38" spans="2:33" x14ac:dyDescent="0.25">
      <c r="C38" s="115">
        <v>10</v>
      </c>
      <c r="D38" s="115"/>
      <c r="E38" s="115"/>
      <c r="F38" s="116"/>
      <c r="G38" s="117"/>
      <c r="H38" s="118"/>
      <c r="I38" s="119"/>
      <c r="J38" s="115"/>
      <c r="K38" s="115"/>
      <c r="L38" s="116"/>
      <c r="M38" s="117"/>
      <c r="N38" s="118"/>
      <c r="O38" s="119"/>
      <c r="P38" s="119"/>
      <c r="Q38" s="119"/>
      <c r="R38" s="119"/>
      <c r="S38" s="119"/>
      <c r="T38" s="119"/>
      <c r="U38" s="119"/>
      <c r="V38" s="119"/>
      <c r="W38" s="119"/>
      <c r="X38" s="120"/>
      <c r="Y38" s="121"/>
      <c r="Z38" s="120"/>
      <c r="AA38" s="119"/>
      <c r="AB38" s="121"/>
      <c r="AC38" s="121"/>
      <c r="AD38" s="2"/>
      <c r="AG38" s="1" t="s">
        <v>25</v>
      </c>
    </row>
    <row r="39" spans="2:33" x14ac:dyDescent="0.25">
      <c r="C39" s="1" t="s">
        <v>32</v>
      </c>
      <c r="E39" s="131"/>
      <c r="G39" s="125"/>
      <c r="H39" s="118"/>
      <c r="I39" s="124"/>
      <c r="K39" s="131"/>
      <c r="M39" s="125"/>
      <c r="N39" s="118"/>
      <c r="O39" s="124"/>
      <c r="P39" s="124"/>
      <c r="Q39" s="124"/>
      <c r="R39" s="124"/>
      <c r="S39" s="124"/>
      <c r="T39" s="124"/>
      <c r="U39" s="124"/>
      <c r="V39" s="124"/>
      <c r="W39" s="124"/>
      <c r="X39" s="120"/>
      <c r="Y39" s="124"/>
      <c r="Z39" s="120"/>
      <c r="AA39" s="124"/>
      <c r="AB39" s="124"/>
      <c r="AC39" s="124"/>
      <c r="AD39" s="2"/>
    </row>
    <row r="40" spans="2:33" s="114" customFormat="1" ht="15.75" x14ac:dyDescent="0.25">
      <c r="F40" s="126"/>
      <c r="G40" s="127"/>
      <c r="I40" s="128">
        <f>SUM(I30:I39)</f>
        <v>0</v>
      </c>
      <c r="L40" s="126"/>
      <c r="M40" s="127"/>
      <c r="O40" s="128">
        <f>SUM(O30:O39)</f>
        <v>0</v>
      </c>
      <c r="P40" s="116"/>
      <c r="Q40" s="116"/>
      <c r="R40" s="116"/>
      <c r="S40" s="116"/>
      <c r="T40" s="116"/>
      <c r="U40" s="128">
        <f>SUM(U30:U39)</f>
        <v>0</v>
      </c>
      <c r="V40" s="116"/>
      <c r="W40" s="116"/>
      <c r="X40" s="123"/>
      <c r="Y40" s="116"/>
      <c r="Z40" s="123"/>
      <c r="AA40" s="128">
        <f>SUM(AA30:AA39)</f>
        <v>0</v>
      </c>
      <c r="AB40" s="129"/>
      <c r="AC40" s="125">
        <f>+I40+U40+AA40+O40</f>
        <v>0</v>
      </c>
    </row>
    <row r="41" spans="2:33" x14ac:dyDescent="0.25">
      <c r="B41" s="2"/>
      <c r="C41" s="2"/>
      <c r="D41" s="2"/>
      <c r="E41" s="70"/>
      <c r="F41" s="2"/>
      <c r="G41" s="2"/>
      <c r="H41" s="2"/>
      <c r="I41" s="2"/>
      <c r="J41" s="2"/>
      <c r="K41" s="70"/>
      <c r="L41" s="2"/>
      <c r="M41" s="2"/>
      <c r="N41" s="2"/>
      <c r="O41" s="2"/>
      <c r="X41" s="70"/>
      <c r="AA41" s="2"/>
      <c r="AB41" s="130"/>
      <c r="AC41" s="131">
        <f>AC40-AC27</f>
        <v>0</v>
      </c>
    </row>
    <row r="42" spans="2:33" x14ac:dyDescent="0.25">
      <c r="B42" s="2"/>
      <c r="C42" s="2"/>
      <c r="D42" s="2"/>
      <c r="E42" s="70"/>
      <c r="F42" s="2"/>
      <c r="G42" s="2"/>
      <c r="H42" s="2"/>
      <c r="I42" s="129"/>
      <c r="J42" s="2"/>
      <c r="K42" s="70"/>
      <c r="L42" s="2"/>
      <c r="M42" s="2"/>
      <c r="N42" s="2"/>
      <c r="O42" s="129"/>
      <c r="P42" s="2" t="s">
        <v>38</v>
      </c>
      <c r="U42" s="129"/>
      <c r="X42" s="70"/>
      <c r="AA42" s="2"/>
      <c r="AB42" s="130"/>
      <c r="AC42" s="131"/>
    </row>
    <row r="43" spans="2:33" x14ac:dyDescent="0.25">
      <c r="E43" s="110"/>
      <c r="Q43" s="133"/>
      <c r="Y43" s="1"/>
      <c r="Z43" s="1"/>
    </row>
    <row r="44" spans="2:33" x14ac:dyDescent="0.25">
      <c r="S44" s="129"/>
      <c r="T44" s="129"/>
      <c r="U44" s="129"/>
      <c r="W44" s="130"/>
    </row>
  </sheetData>
  <mergeCells count="11">
    <mergeCell ref="Q3:T3"/>
    <mergeCell ref="C4:D4"/>
    <mergeCell ref="V6:AA6"/>
    <mergeCell ref="AB6:AB7"/>
    <mergeCell ref="AC6:AC7"/>
    <mergeCell ref="AE6:AE7"/>
    <mergeCell ref="B6:B7"/>
    <mergeCell ref="C6:C7"/>
    <mergeCell ref="D6:I6"/>
    <mergeCell ref="J6:O6"/>
    <mergeCell ref="P6:U6"/>
  </mergeCells>
  <pageMargins left="0.39370078740157483" right="0.39370078740157483" top="0.19685039370078741" bottom="0.19685039370078741" header="0" footer="0"/>
  <pageSetup paperSize="9" scale="87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28</vt:i4>
      </vt:variant>
      <vt:variant>
        <vt:lpstr>Rangos con nombre</vt:lpstr>
      </vt:variant>
      <vt:variant>
        <vt:i4>25</vt:i4>
      </vt:variant>
    </vt:vector>
  </HeadingPairs>
  <TitlesOfParts>
    <vt:vector size="53" baseType="lpstr">
      <vt:lpstr>I-MED - SEG</vt:lpstr>
      <vt:lpstr>BONO I-MED</vt:lpstr>
      <vt:lpstr>03-01</vt:lpstr>
      <vt:lpstr>04-01</vt:lpstr>
      <vt:lpstr>05-01</vt:lpstr>
      <vt:lpstr>06-01</vt:lpstr>
      <vt:lpstr>07-01</vt:lpstr>
      <vt:lpstr>08-01</vt:lpstr>
      <vt:lpstr>10-01</vt:lpstr>
      <vt:lpstr>11-01</vt:lpstr>
      <vt:lpstr>12-01</vt:lpstr>
      <vt:lpstr>13-01</vt:lpstr>
      <vt:lpstr>14-01</vt:lpstr>
      <vt:lpstr>15-01</vt:lpstr>
      <vt:lpstr>17-01</vt:lpstr>
      <vt:lpstr>18-01</vt:lpstr>
      <vt:lpstr>19-01</vt:lpstr>
      <vt:lpstr>20-01</vt:lpstr>
      <vt:lpstr>21-12</vt:lpstr>
      <vt:lpstr>22-01</vt:lpstr>
      <vt:lpstr>24-01</vt:lpstr>
      <vt:lpstr>25-01</vt:lpstr>
      <vt:lpstr>26-01</vt:lpstr>
      <vt:lpstr>27-01</vt:lpstr>
      <vt:lpstr>28-01</vt:lpstr>
      <vt:lpstr>29-01</vt:lpstr>
      <vt:lpstr>31-01</vt:lpstr>
      <vt:lpstr>31-08</vt:lpstr>
      <vt:lpstr>'03-01'!Área_de_impresión</vt:lpstr>
      <vt:lpstr>'05-01'!Área_de_impresión</vt:lpstr>
      <vt:lpstr>'06-01'!Área_de_impresión</vt:lpstr>
      <vt:lpstr>'07-01'!Área_de_impresión</vt:lpstr>
      <vt:lpstr>'08-01'!Área_de_impresión</vt:lpstr>
      <vt:lpstr>'10-01'!Área_de_impresión</vt:lpstr>
      <vt:lpstr>'11-01'!Área_de_impresión</vt:lpstr>
      <vt:lpstr>'12-01'!Área_de_impresión</vt:lpstr>
      <vt:lpstr>'13-01'!Área_de_impresión</vt:lpstr>
      <vt:lpstr>'14-01'!Área_de_impresión</vt:lpstr>
      <vt:lpstr>'15-01'!Área_de_impresión</vt:lpstr>
      <vt:lpstr>'17-01'!Área_de_impresión</vt:lpstr>
      <vt:lpstr>'18-01'!Área_de_impresión</vt:lpstr>
      <vt:lpstr>'19-01'!Área_de_impresión</vt:lpstr>
      <vt:lpstr>'20-01'!Área_de_impresión</vt:lpstr>
      <vt:lpstr>'21-12'!Área_de_impresión</vt:lpstr>
      <vt:lpstr>'22-01'!Área_de_impresión</vt:lpstr>
      <vt:lpstr>'24-01'!Área_de_impresión</vt:lpstr>
      <vt:lpstr>'25-01'!Área_de_impresión</vt:lpstr>
      <vt:lpstr>'26-01'!Área_de_impresión</vt:lpstr>
      <vt:lpstr>'27-01'!Área_de_impresión</vt:lpstr>
      <vt:lpstr>'28-01'!Área_de_impresión</vt:lpstr>
      <vt:lpstr>'29-01'!Área_de_impresión</vt:lpstr>
      <vt:lpstr>'31-01'!Área_de_impresión</vt:lpstr>
      <vt:lpstr>'31-08'!Área_de_impresión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INSI8</dc:creator>
  <cp:lastModifiedBy>INSI8</cp:lastModifiedBy>
  <cp:lastPrinted>2022-02-01T13:57:51Z</cp:lastPrinted>
  <dcterms:created xsi:type="dcterms:W3CDTF">2020-10-01T12:48:17Z</dcterms:created>
  <dcterms:modified xsi:type="dcterms:W3CDTF">2022-03-15T12:59:26Z</dcterms:modified>
</cp:coreProperties>
</file>